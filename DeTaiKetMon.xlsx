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Study\2026\Nam04_HK1\IOT_T.HoangHai\IOT_Safey_GasCheck\"/>
    </mc:Choice>
  </mc:AlternateContent>
  <xr:revisionPtr revIDLastSave="0" documentId="13_ncr:1_{0D3B7B9B-991E-4B38-A0E1-0C57F60A133A}" xr6:coauthVersionLast="45" xr6:coauthVersionMax="47" xr10:uidLastSave="{00000000-0000-0000-0000-000000000000}"/>
  <bookViews>
    <workbookView xWindow="-103" yWindow="-103" windowWidth="22149" windowHeight="11829" firstSheet="2" activeTab="6" xr2:uid="{00000000-000D-0000-FFFF-FFFF00000000}"/>
  </bookViews>
  <sheets>
    <sheet name="Danh sách 58 đề tài" sheetId="1" r:id="rId1"/>
    <sheet name="Chuẩn kiến trúc 4 tầng" sheetId="2" r:id="rId2"/>
    <sheet name="Rubric 100 điểm" sheetId="3" r:id="rId3"/>
    <sheet name="Checklist Deliverables" sheetId="5" r:id="rId4"/>
    <sheet name="Phân nhóm &amp; nghiệm thu" sheetId="4" r:id="rId5"/>
    <sheet name="Hướng dẫn mô phỏng" sheetId="6" r:id="rId6"/>
    <sheet name="Kế hoạch 10 tuần - 60h" sheetId="7" r:id="rId7"/>
    <sheet name="Phân công nhóm 2-3 SV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4" l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O31" i="4"/>
  <c r="P31" i="4" s="1"/>
  <c r="O30" i="4"/>
  <c r="P30" i="4" s="1"/>
  <c r="O29" i="4"/>
  <c r="P29" i="4" s="1"/>
  <c r="O28" i="4"/>
  <c r="P28" i="4" s="1"/>
  <c r="O27" i="4"/>
  <c r="P27" i="4" s="1"/>
  <c r="O26" i="4"/>
  <c r="P26" i="4" s="1"/>
  <c r="O25" i="4"/>
  <c r="P25" i="4" s="1"/>
  <c r="O24" i="4"/>
  <c r="P24" i="4" s="1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O16" i="4"/>
  <c r="P16" i="4" s="1"/>
  <c r="O15" i="4"/>
  <c r="P15" i="4" s="1"/>
  <c r="O14" i="4"/>
  <c r="P14" i="4" s="1"/>
  <c r="O13" i="4"/>
  <c r="P13" i="4" s="1"/>
  <c r="O12" i="4"/>
  <c r="P12" i="4" s="1"/>
  <c r="O11" i="4"/>
  <c r="P11" i="4" s="1"/>
  <c r="O10" i="4"/>
  <c r="P10" i="4" s="1"/>
  <c r="O9" i="4"/>
  <c r="P9" i="4" s="1"/>
  <c r="O8" i="4"/>
  <c r="P8" i="4" s="1"/>
  <c r="O7" i="4"/>
  <c r="P7" i="4" s="1"/>
  <c r="O6" i="4"/>
  <c r="P6" i="4" s="1"/>
  <c r="O5" i="4"/>
  <c r="P5" i="4" s="1"/>
  <c r="O4" i="4"/>
  <c r="P4" i="4" s="1"/>
  <c r="O3" i="4"/>
  <c r="P3" i="4" s="1"/>
  <c r="O2" i="4"/>
  <c r="P2" i="4" s="1"/>
</calcChain>
</file>

<file path=xl/sharedStrings.xml><?xml version="1.0" encoding="utf-8"?>
<sst xmlns="http://schemas.openxmlformats.org/spreadsheetml/2006/main" count="304" uniqueCount="273">
  <si>
    <t>STT</t>
  </si>
  <si>
    <t>Nhóm ứng dụng</t>
  </si>
  <si>
    <t>Tên đề tài</t>
  </si>
  <si>
    <t>Mô tả bài toán</t>
  </si>
  <si>
    <t>Tầng 1 – Sensing</t>
  </si>
  <si>
    <t>Actuator / Output</t>
  </si>
  <si>
    <t>Tầng 2 – Network</t>
  </si>
  <si>
    <t>Tầng 3 – Middleware</t>
  </si>
  <si>
    <t>Tầng 4 – Application / Platform</t>
  </si>
  <si>
    <t>Tích hợp ngoài / chức năng demo</t>
  </si>
  <si>
    <t>Logic tự động</t>
  </si>
  <si>
    <t>Yêu cầu triển khai / mô phỏng</t>
  </si>
  <si>
    <t>Kịch bản Demo nghiệm thu</t>
  </si>
  <si>
    <t>Độ khó (1–5)</t>
  </si>
  <si>
    <t>Môi trường mô phỏng bắt buộc</t>
  </si>
  <si>
    <t>Thời lượng</t>
  </si>
  <si>
    <t>Quy mô nhóm</t>
  </si>
  <si>
    <t>Yêu cầu tiến độ</t>
  </si>
  <si>
    <t>ESP32 + Wi-Fi + MQTT</t>
  </si>
  <si>
    <t>MQTT Broker + Node-RED</t>
  </si>
  <si>
    <t>Bắt buộc dùng Wokwi / Tinkercad / LogicBench hoặc simulator tương đương; có thể dùng Hybrid nếu một simulator không hỗ trợ đủ linh kiện/giao thức.</t>
  </si>
  <si>
    <t>10 tuần × 6h/tuần = ≥60h/SV</t>
  </si>
  <si>
    <t>2–3 sinh viên</t>
  </si>
  <si>
    <t>W2 Simulation; W4 Connected; W6 đủ 4 tầng; W8 E2E; W10 Final</t>
  </si>
  <si>
    <t>Safety</t>
  </si>
  <si>
    <t>Telegram Bot / Home Assistant / Blynk / nền tảng tương đương</t>
  </si>
  <si>
    <t>Cảnh báo rò rỉ Gas &amp; chất lượng không khí</t>
  </si>
  <si>
    <t>Giám sát khí gas/khói và tự động thông gió/ngắt van mô phỏng.</t>
  </si>
  <si>
    <t>MQ2; MQ135</t>
  </si>
  <si>
    <t>Servo van gas; quạt; buzzer</t>
  </si>
  <si>
    <t>Gửi cảnh báo khẩn và giá trị cảm biến</t>
  </si>
  <si>
    <t>Gas vượt ngưỡng → đóng van + quạt + còi</t>
  </si>
  <si>
    <t>BẮT BUỘC: có mô phỏng chức năng cốt lõi của đề tài. TÙY CHỌN/ĐIỂM CỘNG: dựng phần cứng vật lý (Van mô phỏng + quạt thật). Không có phần cứng thật vẫn được Pass nếu simulation và kiến trúc 4 tầng đạt yêu cầu.</t>
  </si>
  <si>
    <t>Tạo tín hiệu MQ → cơ cấu phản ứng + Telegram</t>
  </si>
  <si>
    <t>CHUẨN KIẾN TRÚC 4 TẦNG IOT DÙNG CHUNG</t>
  </si>
  <si>
    <t>Tầng</t>
  </si>
  <si>
    <t>Yêu cầu bắt buộc</t>
  </si>
  <si>
    <t>Minh chứng nghiệm thu</t>
  </si>
  <si>
    <t>1 – Sensing / Physical</t>
  </si>
  <si>
    <t>BẮT BUỘC có mô phỏng Tầng 1 với ít nhất 01 sensor/input và 01 actuator/output. Có thể dùng Wokwi, Tinkercad, LogicBench hoặc simulator tương đương. Phần cứng vật lý là tùy chọn/điểm cộng, không phải điều kiện Pass.</t>
  </si>
  <si>
    <t>Bắt buộc nộp link/project file simulation và demo sensor/input thay đổi → actuator/output phản ứng. Nếu có hardware thật, nộp thêm video/ảnh để nhận điểm cộng.</t>
  </si>
  <si>
    <t>2 – Network / Connectivity</t>
  </si>
  <si>
    <t>Node điều khiển có thể là ESP32/Arduino phù hợp với nền tảng mô phỏng; kết nối Wi-Fi/MQTT khi nền tảng hỗ trợ. Nếu Tinkercad không hỗ trợ đầy đủ MQTT/Internet, có thể mô phỏng tầng thiết bị và dùng middleware/application bên ngoài để hoàn thiện kiến trúc.</t>
  </si>
  <si>
    <t>Minh chứng luồng dữ liệu giữa thiết bị/mô phỏng và middleware; nêu rõ giới hạn của nền tảng nếu có.</t>
  </si>
  <si>
    <t>3 – Middleware</t>
  </si>
  <si>
    <t>MQTT Broker + Middleware/Automation engine. Có thể dùng Node-RED, Home Assistant automation hoặc công cụ tương đương; cần có flow/rule/threshold/scheduler và publish command xuống thiết bị.</t>
  </si>
  <si>
    <t>Minh chứng flow/rule automation; log dữ liệu; demo xử lý và gửi command xuống thiết bị.</t>
  </si>
  <si>
    <t>4 – Application</t>
  </si>
  <si>
    <t>Ứng dụng/Dashboard không khóa framework: có thể dùng Home Assistant, Blynk, Node-RED Dashboard, Adafruit IO hoặc nền tảng tương đương. Google Assistant và Telegram Bot là tích hợp mở rộng/tùy chọn theo đề tài.</t>
  </si>
  <si>
    <t>Demo dashboard/ứng dụng và ít nhất một chức năng từ xa: cảnh báo, truy vấn hoặc command tác động thiết bị thật.</t>
  </si>
  <si>
    <t>Luồng chuẩn</t>
  </si>
  <si>
    <t>Sensor → ESP32 → MQTT → Middleware/Automation → Application/Platform → MQTT/API → ESP32 → Actuator</t>
  </si>
  <si>
    <t>Phải chứng minh được ít nhất 01 luồng uplink và 01 luồng downlink; không phụ thuộc framework cụ thể.</t>
  </si>
  <si>
    <t>Baseline Pass/Fail</t>
  </si>
  <si>
    <t>Điều kiện Pass: (1) có simulation hoạt động; (2) chứng minh đủ 4 tầng Sensing → Network → Middleware → Application; (3) có ít nhất 01 luồng uplink và 01 luồng downlink/remote interaction. Không bắt buộc hardware vật lý.</t>
  </si>
  <si>
    <t>Thiếu simulation hoặc thiếu một tầng kiến trúc: chưa đạt. Không được đánh rớt chỉ vì không dựng phần cứng thật.</t>
  </si>
  <si>
    <t>RUBRIC NGHIỆM THU ĐỀ TÀI IOT – 100 ĐIỂM</t>
  </si>
  <si>
    <t>Hạng mục</t>
  </si>
  <si>
    <t>Điểm tối đa</t>
  </si>
  <si>
    <t>Yêu cầu chính</t>
  </si>
  <si>
    <t>Điều kiện trừ/không đạt</t>
  </si>
  <si>
    <t>Simulation &amp; Embedded /20</t>
  </si>
  <si>
    <t>BẮT BUỘC: simulation sensor/input + actuator/output hoạt động, circuit/wiring hợp lý, firmware thể hiện đúng bài toán. Chấp nhận Wokwi, Tinkercad, LogicBench hoặc simulator tương đương.</t>
  </si>
  <si>
    <t>Không có simulation hoạt động: đề tài chưa đủ điều kiện Pass. Hardware thật không bắt buộc.</t>
  </si>
  <si>
    <t>Kiến trúc 4 tầng IoT</t>
  </si>
  <si>
    <t>Đủ Sensing → Network → Middleware → Application. Có thể kết hợp simulation và dịch vụ thật; phải chứng minh luồng dữ liệu end-to-end.</t>
  </si>
  <si>
    <t>Thiếu 1 tầng: mục này không đạt baseline.</t>
  </si>
  <si>
    <t>Automation / Control Logic</t>
  </si>
  <si>
    <t>Có rule, threshold, scheduler/state machine; xử lý tình huống hợp lý.</t>
  </si>
  <si>
    <t>Chỉ bật/tắt thủ công, không có automation: tối đa 50% mục.</t>
  </si>
  <si>
    <t>Application / Integration</t>
  </si>
  <si>
    <t>Có ứng dụng/dashboard và tích hợp điều khiển/cảnh báo từ xa. Chấp nhận Home Assistant, Blynk, Node-RED Dashboard, Adafruit IO, Telegram Bot, Google Assistant hoặc nền tảng tương đương.</t>
  </si>
  <si>
    <t>Không demo được Application/remote integration: 0 điểm mục. Không bắt buộc framework cụ thể.</t>
  </si>
  <si>
    <t>Demo &amp; độ ổn định</t>
  </si>
  <si>
    <t>Demo theo kịch bản, xử lý được lỗi cơ bản, phản hồi ổn định.</t>
  </si>
  <si>
    <t>Demo ngẫu nhiên/không lặp lại được: trừ điểm.</t>
  </si>
  <si>
    <t>Báo cáo &amp; deliverables</t>
  </si>
  <si>
    <t>Source code, sơ đồ 4 tầng, wiring, Node-RED flow, video, báo cáo kết quả.</t>
  </si>
  <si>
    <t>Thiếu source hoặc minh chứng chính: trừ theo mức độ.</t>
  </si>
  <si>
    <t>TỔNG CƠ BẢN</t>
  </si>
  <si>
    <t>ĐIỂM CỘNG HARDWARE</t>
  </si>
  <si>
    <t>Hardware vật lý (Bonus)</t>
  </si>
  <si>
    <t>Tùy chọn: dựng prototype vật lý hoạt động tương ứng với simulation; chứng minh sensor/actuator thật.</t>
  </si>
  <si>
    <t>Không làm hardware: không trừ điểm và không ảnh hưởng điều kiện Pass.</t>
  </si>
  <si>
    <t>TỔNG TỐI ĐA</t>
  </si>
  <si>
    <t>100 điểm cơ bản + tối đa 5 điểm cộng hardware vật lý.</t>
  </si>
  <si>
    <t>Điểm cộng không thay thế các điều kiện bắt buộc của simulation và kiến trúc 4 tầng.</t>
  </si>
  <si>
    <t>Deliverable bắt buộc</t>
  </si>
  <si>
    <t>Yêu cầu</t>
  </si>
  <si>
    <t>Source code ESP32</t>
  </si>
  <si>
    <t>Code có cấu hình sensor, MQTT, actuator; chú thích các module chính.</t>
  </si>
  <si>
    <t>Sơ đồ kiến trúc 4 tầng</t>
  </si>
  <si>
    <t>Thể hiện Sensing, Network, Middleware, Application và luồng dữ liệu hai chiều.</t>
  </si>
  <si>
    <t>Sơ đồ wiring / Circuit</t>
  </si>
  <si>
    <t>Sơ đồ chân ESP32/Arduino – sensor – actuator – nguồn; nếu mô phỏng, nộp circuit Wokwi/Tinkercad tương ứng.</t>
  </si>
  <si>
    <t>Node-RED Flow</t>
  </si>
  <si>
    <t>File export JSON hoặc ảnh flow kèm giải thích rule.</t>
  </si>
  <si>
    <t>MQTT Topics</t>
  </si>
  <si>
    <t>Danh sách topic, payload mẫu và hướng publish/subscribe.</t>
  </si>
  <si>
    <t>Application / Remote Integration</t>
  </si>
  <si>
    <t>Ảnh/video minh chứng dashboard hoặc điều khiển/cảnh báo từ xa. Có thể dùng Home Assistant, Blynk, Node-RED Dashboard, Adafruit IO, Telegram Bot, Google Assistant hoặc nền tảng tương đương.</t>
  </si>
  <si>
    <t>Simulation – BẮT BUỘC</t>
  </si>
  <si>
    <t>Bắt buộc nộp link/project file Wokwi, Tinkercad, LogicBench hoặc simulator tương đương và video/demo chạy. Simulation phải thể hiện sensor/input → xử lý → actuator/output.</t>
  </si>
  <si>
    <t>Video demo</t>
  </si>
  <si>
    <t>Demo kịch bản bình thường + ít nhất một tình huống cảnh báo/lỗi.</t>
  </si>
  <si>
    <t>Báo cáo kỹ thuật</t>
  </si>
  <si>
    <t>Mục tiêu, thiết kế, thuật toán, kết quả đo, vấn đề và hướng cải tiến.</t>
  </si>
  <si>
    <t>Slide/Poster tổng kết</t>
  </si>
  <si>
    <t>Tóm tắt bài toán, kiến trúc, mô hình và kết quả.</t>
  </si>
  <si>
    <t>Hardware vật lý – TÙY CHỌN</t>
  </si>
  <si>
    <t>Không bắt buộc để Pass. Nếu có prototype thật hoạt động và tương ứng với simulation, được cộng tối đa 5 điểm.</t>
  </si>
  <si>
    <t>Minh chứng Hardware Bonus</t>
  </si>
  <si>
    <t>Ảnh/video prototype thật, wiring, sensor/actuator và demo hoạt động end-to-end.</t>
  </si>
  <si>
    <t>Nhóm SV</t>
  </si>
  <si>
    <t>SV 1</t>
  </si>
  <si>
    <t>SV 2</t>
  </si>
  <si>
    <t>SV 3</t>
  </si>
  <si>
    <t>Mã đề tài</t>
  </si>
  <si>
    <t>GV hướng dẫn</t>
  </si>
  <si>
    <t>Trạng thái</t>
  </si>
  <si>
    <t>Simulation /20</t>
  </si>
  <si>
    <t>4 tầng /25</t>
  </si>
  <si>
    <t>Automation /20</t>
  </si>
  <si>
    <t>Application / Integration /15</t>
  </si>
  <si>
    <t>Demo /10</t>
  </si>
  <si>
    <t>Báo cáo /10</t>
  </si>
  <si>
    <t>Tổng /100</t>
  </si>
  <si>
    <t>Kết quả</t>
  </si>
  <si>
    <t>Ghi chú / Hardware Bonus</t>
  </si>
  <si>
    <t>W1 Scope</t>
  </si>
  <si>
    <t>W2 Simulation</t>
  </si>
  <si>
    <t>W3 Firmware</t>
  </si>
  <si>
    <t>W4 Network</t>
  </si>
  <si>
    <t>W5 Middleware</t>
  </si>
  <si>
    <t>W6 Application</t>
  </si>
  <si>
    <t>W7 Automation</t>
  </si>
  <si>
    <t>W8 E2E</t>
  </si>
  <si>
    <t>W9 Test/Docs</t>
  </si>
  <si>
    <t>W10 Final</t>
  </si>
  <si>
    <t>N19</t>
  </si>
  <si>
    <t>Trình Quốc An</t>
  </si>
  <si>
    <t>Nguyễn Kim Long</t>
  </si>
  <si>
    <t>Nguyễn Long Vỹ</t>
  </si>
  <si>
    <t>HƯỚNG DẪN DÙNG WOKWI / TINKERCAD TRONG ĐỀ TÀI IOT</t>
  </si>
  <si>
    <t>Nội dung</t>
  </si>
  <si>
    <t>Wokwi</t>
  </si>
  <si>
    <t>Tinkercad</t>
  </si>
  <si>
    <t>Phù hợp nhất</t>
  </si>
  <si>
    <t>ESP32/Arduino, sensor, actuator, logic firmware, Wi-Fi/MQTT ở mức mô phỏng phù hợp.</t>
  </si>
  <si>
    <t>Arduino, mạch điện cơ bản, sensor/servo/LED/LCD, kiểm tra wiring và logic cơ bản.</t>
  </si>
  <si>
    <t>Vai trò trong 4 tầng</t>
  </si>
  <si>
    <t>Có thể mô phỏng tốt Tầng 1–2 và kết nối ra MQTT/API tùy bài.</t>
  </si>
  <si>
    <t>Chủ yếu mạnh ở Tầng 1 và logic thiết bị; Tầng 2–4 có thể ghép với công cụ bên ngoài.</t>
  </si>
  <si>
    <t>Middleware</t>
  </si>
  <si>
    <t>Node-RED / Home Assistant / công cụ tương đương chạy bên ngoài simulation.</t>
  </si>
  <si>
    <t>Application</t>
  </si>
  <si>
    <t>Home Assistant, Blynk, Node-RED Dashboard, Adafruit IO, Telegram Bot, Google Assistant hoặc tương đương.</t>
  </si>
  <si>
    <t>Tương tự; không bắt buộc tích hợp trực tiếp bên trong Tinkercad.</t>
  </si>
  <si>
    <t>Yêu cầu demo</t>
  </si>
  <si>
    <t>Cho thấy sensor thay đổi → dữ liệu được xử lý → rule chạy → actuator/application phản ứng.</t>
  </si>
  <si>
    <t>Cho thấy circuit + logic thiết bị; nếu thiếu Internet/MQTT thì giải thích và bổ sung phần middleware/application riêng.</t>
  </si>
  <si>
    <t>Nguyên tắc chấm</t>
  </si>
  <si>
    <t>Không ưu tiên framework hay nền tảng. Chấm theo kiến trúc, logic, minh chứng và khả năng giải thích.</t>
  </si>
  <si>
    <t>Khuyến nghị</t>
  </si>
  <si>
    <t>Ưu tiên cho đề tài dùng ESP32/MQTT và cần demo IoT end-to-end.</t>
  </si>
  <si>
    <t>Ưu tiên cho bài mạch/Arduino cơ bản, servo, motor, sensor, LCD; phù hợp giai đoạn prototype.</t>
  </si>
  <si>
    <t>QUY ĐỊNH CHUNG</t>
  </si>
  <si>
    <t>Simulation</t>
  </si>
  <si>
    <t>BẮT BUỘC</t>
  </si>
  <si>
    <t>Mỗi đề tài phải có project mô phỏng chạy được và được demo khi nghiệm thu.</t>
  </si>
  <si>
    <t>Hardware vật lý</t>
  </si>
  <si>
    <t>TÙY CHỌN / BONUS</t>
  </si>
  <si>
    <t>Không có hardware thật vẫn có thể đạt 100/100 nếu đáp ứng toàn bộ tiêu chí bắt buộc. Hardware thật cộng tối đa 5 điểm.</t>
  </si>
  <si>
    <t>Điều kiện Pass</t>
  </si>
  <si>
    <t>Simulation + đủ 4 tầng</t>
  </si>
  <si>
    <t>Không Pass nếu chỉ trình bày slide/code mà không có simulation hoạt động hoặc thiếu kiến trúc 4 tầng.</t>
  </si>
  <si>
    <t>SMART RETAIL – ĐỀ TÀI 49–58</t>
  </si>
  <si>
    <t>Nguyên tắc</t>
  </si>
  <si>
    <t>Simulation bắt buộc</t>
  </si>
  <si>
    <t>Các đề tài Retail phải mô phỏng được event vật lý (sensor/input), business rule và output/actuator; không chấp nhận chỉ làm web/POS thuần phần mềm.</t>
  </si>
  <si>
    <t>Hardware</t>
  </si>
  <si>
    <t>Tùy chọn / Bonus</t>
  </si>
  <si>
    <t>Kệ, tủ mát, checkout counter, cửa kho, kiosk... bằng phần cứng thật được cộng điểm nhưng không phải điều kiện Pass.</t>
  </si>
  <si>
    <t>THỜI LƯỢNG &amp; MILESTONE</t>
  </si>
  <si>
    <t>Khối lượng</t>
  </si>
  <si>
    <t>10 tuần × 6 giờ/tuần/SV</t>
  </si>
  <si>
    <t>Tối thiểu 60 giờ mỗi sinh viên; nhóm 2 SV ≥120 person-hours; nhóm 3 SV ≥180 person-hours.</t>
  </si>
  <si>
    <t>Milestone bắt buộc</t>
  </si>
  <si>
    <t>W2 / W4 / W6 / W8</t>
  </si>
  <si>
    <t>W2 Simulation; W4 Connected Device; W6 Full 4-Layer; W8 End-to-End.</t>
  </si>
  <si>
    <t>Hardware Bonus</t>
  </si>
  <si>
    <t>Khuyến nghị Week 7–9</t>
  </si>
  <si>
    <t>Chỉ triển khai hardware thật sau khi simulation ổn định; không được dùng hardware để thay thế simulation bắt buộc.</t>
  </si>
  <si>
    <t>KẾ HOẠCH THỰC HIỆN ĐỀ TÀI IOT – 10 TUẦN / TỐI THIỂU 60 GIỜ MỖI SINH VIÊN</t>
  </si>
  <si>
    <t>Tuần</t>
  </si>
  <si>
    <t>Thời lượng / SV</t>
  </si>
  <si>
    <t>Mục tiêu kỹ thuật</t>
  </si>
  <si>
    <t>Nội dung 6 giờ thực hiện</t>
  </si>
  <si>
    <t>Milestone / Điều kiện nghiệm thu</t>
  </si>
  <si>
    <t>Tỷ trọng tiến độ</t>
  </si>
  <si>
    <t>6h</t>
  </si>
  <si>
    <t>Phân tích bài toán &amp; kiến trúc</t>
  </si>
  <si>
    <t>2h phân tích yêu cầu/use case; 2h xác định sensor-input, actuator-output, automation; 2h thiết kế kiến trúc 4 tầng và phân công nhóm.</t>
  </si>
  <si>
    <t>Problem Statement; Use Case; BOM dự kiến; sơ đồ Sensing→Network→Middleware→Application V1; bảng phân công.</t>
  </si>
  <si>
    <t>Chốt scope; mỗi SV phải giải thích được toàn bộ kiến trúc, không chỉ phần mình phụ trách.</t>
  </si>
  <si>
    <t>5%</t>
  </si>
  <si>
    <t>Simulation Tầng 1 – Sensing/Physical</t>
  </si>
  <si>
    <t>2h dựng circuit trên Wokwi/Tinkercad/LogicBench; 2h đọc sensor/input; 2h điều khiển actuator/output và kiểm tra wiring.</t>
  </si>
  <si>
    <t>Link/project simulation V1; circuit/wiring; sensor/input và actuator/output chạy được.</t>
  </si>
  <si>
    <t>M1 – Device Prototype: simulation là BẮT BUỘC. Không có simulation hoạt động thì chưa đạt tiến độ.</t>
  </si>
  <si>
    <t>10%</t>
  </si>
  <si>
    <t>Firmware &amp; embedded logic</t>
  </si>
  <si>
    <t>3h hoàn thiện firmware; 2h calibration/filter/timer/state; 1h test nhiều bộ dữ liệu đầu vào.</t>
  </si>
  <si>
    <t>Simulation V2; source code; bảng test Input→Processing→Output; thông số threshold/calibration.</t>
  </si>
  <si>
    <t>Firmware phải chạy lặp lại ổn định; không chỉ demo một trường hợp hard-code.</t>
  </si>
  <si>
    <t>Tầng 2 – Network / Connectivity</t>
  </si>
  <si>
    <t>2h thiết kế MQTT topics/payload; 2h publish telemetry/event; 2h subscribe command và test reconnect.</t>
  </si>
  <si>
    <t>MQTT topic map; payload mẫu; log Publish + Subscribe; simulation/device nhận command từ network.</t>
  </si>
  <si>
    <t>M2 – Connected Device: chứng minh uplink và downlink qua MQTT/API phù hợp.</t>
  </si>
  <si>
    <t>Tầng 3 – Middleware / Automation Engine</t>
  </si>
  <si>
    <t>3h xây flow/rules bằng Node-RED, Home Assistant Automation hoặc tương đương; 2h threshold/scheduler/state; 1h logging.</t>
  </si>
  <si>
    <t>Middleware flow/export; ít nhất 01 automation rule; log/event history; command trả xuống device.</t>
  </si>
  <si>
    <t>Middleware phải thực hiện xử lý, không chỉ forward dữ liệu.</t>
  </si>
  <si>
    <t>3h dashboard/application; 2h remote command/alert; 1h kiểm tra phân quyền/trạng thái cơ bản.</t>
  </si>
  <si>
    <t>Home Assistant/Blynk/Node-RED Dashboard/Adafruit IO/Telegram/Web App hoặc tương đương hoạt động.</t>
  </si>
  <si>
    <t>M3 – Full 4-Layer IoT: đủ Sensing→Network→Middleware→Application.</t>
  </si>
  <si>
    <t>Business rules &amp; abnormal scenarios</t>
  </si>
  <si>
    <t>3h bổ sung automation; 2h abnormal/error scenario; 1h test timeout, threshold, scheduler hoặc state machine.</t>
  </si>
  <si>
    <t>Tối thiểu 02 automation rules + 01 abnormal/alert scenario; test evidence.</t>
  </si>
  <si>
    <t>Không chấp nhận hệ thống chỉ bật/tắt thủ công. Phải có logic tự động phù hợp bài toán.</t>
  </si>
  <si>
    <t>End-to-End Integration</t>
  </si>
  <si>
    <t>3h ghép toàn hệ thống; 2h kiểm thử luồng hai chiều; 1h xử lý lỗi integration.</t>
  </si>
  <si>
    <t>Demo E2E: Sensor/Input→Network→Middleware→Application và Application→Middleware→Device→Actuator.</t>
  </si>
  <si>
    <t>M4 – End-to-End System: luồng uplink + downlink hoạt động ổn định.</t>
  </si>
  <si>
    <t>15%</t>
  </si>
  <si>
    <t>System Test &amp; Documentation</t>
  </si>
  <si>
    <t>2h test cases; 2h fix/robustness; 2h hoàn thiện tài liệu, sơ đồ, source và video draft.</t>
  </si>
  <si>
    <t>Test report; architecture final; wiring; MQTT topics; source; middleware flow; video demo draft.</t>
  </si>
  <si>
    <t>Không bổ sung scope lớn ở tuần 9; tập trung sửa lỗi và chuẩn hóa deliverables.</t>
  </si>
  <si>
    <t>Final Demo &amp; nghiệm thu</t>
  </si>
  <si>
    <t>2h final regression test; 2h live demo; 2h trình bày, Q&amp;A cá nhân và hoàn thiện báo cáo.</t>
  </si>
  <si>
    <t>Live Demo; simulation project; source; báo cáo; video; slide/poster; Q&amp;A từng thành viên.</t>
  </si>
  <si>
    <t>Final: Simulation + đủ 4 tầng là điều kiện Pass. Hardware vật lý chỉ Bonus, không bắt buộc.</t>
  </si>
  <si>
    <t>TỔNG</t>
  </si>
  <si>
    <t>60h/SV</t>
  </si>
  <si>
    <t>100%</t>
  </si>
  <si>
    <t>PHÂN CÔNG CÔNG VIỆC – MỖI SINH VIÊN TỐI THIỂU 60 GIỜ</t>
  </si>
  <si>
    <t>Quy mô</t>
  </si>
  <si>
    <t>Vai trò chính</t>
  </si>
  <si>
    <t>Tuần 1–6</t>
  </si>
  <si>
    <t>Tuần 7–10</t>
  </si>
  <si>
    <t>Nguyên tắc nghiệm thu cá nhân</t>
  </si>
  <si>
    <t>Nhóm 2 SV</t>
  </si>
  <si>
    <t>SV1 – Embedded/Connectivity</t>
  </si>
  <si>
    <t>Primary: simulation, sensor/actuator, firmware, MQTT. Cross-review Middleware/Application.</t>
  </si>
  <si>
    <t>Cùng SV2 làm automation, E2E integration, test, documentation, final demo.</t>
  </si>
  <si>
    <t>Phải hiểu và trả lời được cả 4 tầng; không chỉ phần được phân công.</t>
  </si>
  <si>
    <t>SV2 – Middleware/Application</t>
  </si>
  <si>
    <t>Primary: middleware, dashboard/application, remote integration. Cross-review Embedded/MQTT.</t>
  </si>
  <si>
    <t>Cùng SV1 làm automation, E2E integration, test, documentation, final demo.</t>
  </si>
  <si>
    <t>Nhóm 3 SV</t>
  </si>
  <si>
    <t>SV1 – Sensing/Embedded</t>
  </si>
  <si>
    <t>Primary: circuit, simulation, sensor/actuator, firmware.</t>
  </si>
  <si>
    <t>Integration + test chéo + tài liệu + demo.</t>
  </si>
  <si>
    <t>Có evidence công việc cá nhân và hiểu luồng E2E.</t>
  </si>
  <si>
    <t>SV2 – Network/Middleware</t>
  </si>
  <si>
    <t>Primary: MQTT/API, topic/payload, middleware/rules/logging.</t>
  </si>
  <si>
    <t>SV3 – Application/Automation</t>
  </si>
  <si>
    <t>Primary: dashboard/app, alert/command, business rules.</t>
  </si>
  <si>
    <t>Yêu cầu chung</t>
  </si>
  <si>
    <t>10 tuần × 6h/SV. Nhóm 2 SV = ≥120 person-hours; nhóm 3 SV = ≥180 person-hours.</t>
  </si>
  <si>
    <t>Hardware thật nếu làm nên triển khai Week 7–9 sau khi simulation ổn định.</t>
  </si>
  <si>
    <t>Hardware là Bonus; không thay thế simulation và kiến trúc 4 tầng bắt buộc.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</si>
</sst>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Carlito"/>
      <scheme val="minor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5"/>
      <color rgb="FFFFFFFF"/>
      <name val="Carlito"/>
    </font>
    <font>
      <sz val="11"/>
      <color theme="1"/>
      <name val="Carlito"/>
      <scheme val="minor"/>
    </font>
    <font>
      <sz val="10"/>
      <color theme="1"/>
      <name val="Times New Roman"/>
      <family val="1"/>
    </font>
    <font>
      <sz val="11"/>
      <color rgb="FF000000"/>
      <name val="SegoeuiPc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/>
    <xf numFmtId="0" fontId="0" fillId="0" borderId="0" xfId="0" applyFont="1" applyAlignment="1"/>
    <xf numFmtId="49" fontId="7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/>
    <xf numFmtId="0" fontId="0" fillId="0" borderId="0" xfId="0" applyFont="1" applyAlignment="1">
      <alignment vertical="top" wrapText="1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top" textRotation="0" wrapText="1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Danh sách 58 đề tài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Phân nhóm &amp; nghiệm thu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oTProjectsTable" displayName="IoTProjectsTable" ref="A1:N60">
  <tableColumns count="14">
    <tableColumn id="1" xr3:uid="{00000000-0010-0000-0000-000001000000}" name="STT"/>
    <tableColumn id="2" xr3:uid="{00000000-0010-0000-0000-000002000000}" name="Nhóm ứng dụng"/>
    <tableColumn id="3" xr3:uid="{00000000-0010-0000-0000-000003000000}" name="Tên đề tài"/>
    <tableColumn id="4" xr3:uid="{00000000-0010-0000-0000-000004000000}" name="Mô tả bài toán"/>
    <tableColumn id="5" xr3:uid="{00000000-0010-0000-0000-000005000000}" name="Tầng 1 – Sensing"/>
    <tableColumn id="6" xr3:uid="{00000000-0010-0000-0000-000006000000}" name="Actuator / Output"/>
    <tableColumn id="7" xr3:uid="{00000000-0010-0000-0000-000007000000}" name="Tầng 2 – Network"/>
    <tableColumn id="8" xr3:uid="{00000000-0010-0000-0000-000008000000}" name="Tầng 3 – Middleware"/>
    <tableColumn id="9" xr3:uid="{00000000-0010-0000-0000-000009000000}" name="Tầng 4 – Application / Platform"/>
    <tableColumn id="10" xr3:uid="{00000000-0010-0000-0000-00000A000000}" name="Tích hợp ngoài / chức năng demo"/>
    <tableColumn id="11" xr3:uid="{00000000-0010-0000-0000-00000B000000}" name="Logic tự động"/>
    <tableColumn id="12" xr3:uid="{00000000-0010-0000-0000-00000C000000}" name="Yêu cầu triển khai / mô phỏng"/>
    <tableColumn id="13" xr3:uid="{00000000-0010-0000-0000-00000D000000}" name="Kịch bản Demo nghiệm thu"/>
    <tableColumn id="14" xr3:uid="{00000000-0010-0000-0000-00000E000000}" name="Độ khó (1–5)"/>
  </tableColumns>
  <tableStyleInfo name="Danh sách 58 đề tà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ignmentTable" displayName="AssignmentTable" ref="A1:Q31">
  <tableColumns count="17">
    <tableColumn id="1" xr3:uid="{00000000-0010-0000-0100-000001000000}" name="Nhóm SV"/>
    <tableColumn id="2" xr3:uid="{00000000-0010-0000-0100-000002000000}" name="SV 1"/>
    <tableColumn id="3" xr3:uid="{00000000-0010-0000-0100-000003000000}" name="SV 2"/>
    <tableColumn id="17" xr3:uid="{3328BCF9-0462-4C17-A6C8-129D91E1AF6C}" name="SV 3" dataDxfId="1"/>
    <tableColumn id="4" xr3:uid="{00000000-0010-0000-0100-000004000000}" name="Mã đề tài" dataDxfId="0">
      <calculatedColumnFormula>IFERROR(VLOOKUP(D2,'Danh sách 58 đề tài'!$A$2:$C$60,3,FALSE),"")</calculatedColumnFormula>
    </tableColumn>
    <tableColumn id="5" xr3:uid="{00000000-0010-0000-0100-000005000000}" name="Tên đề tài"/>
    <tableColumn id="6" xr3:uid="{00000000-0010-0000-0100-000006000000}" name="GV hướng dẫn"/>
    <tableColumn id="7" xr3:uid="{00000000-0010-0000-0100-000007000000}" name="Trạng thái"/>
    <tableColumn id="8" xr3:uid="{00000000-0010-0000-0100-000008000000}" name="Simulation /20"/>
    <tableColumn id="9" xr3:uid="{00000000-0010-0000-0100-000009000000}" name="4 tầng /25"/>
    <tableColumn id="10" xr3:uid="{00000000-0010-0000-0100-00000A000000}" name="Automation /20"/>
    <tableColumn id="11" xr3:uid="{00000000-0010-0000-0100-00000B000000}" name="Application / Integration /15"/>
    <tableColumn id="12" xr3:uid="{00000000-0010-0000-0100-00000C000000}" name="Demo /10"/>
    <tableColumn id="13" xr3:uid="{00000000-0010-0000-0100-00000D000000}" name="Báo cáo /10"/>
    <tableColumn id="14" xr3:uid="{00000000-0010-0000-0100-00000E000000}" name="Tổng /100"/>
    <tableColumn id="15" xr3:uid="{00000000-0010-0000-0100-00000F000000}" name="Kết quả"/>
    <tableColumn id="16" xr3:uid="{00000000-0010-0000-0100-000010000000}" name="Ghi chú / Hardware Bonus"/>
  </tableColumns>
  <tableStyleInfo name="Phân nhóm &amp; nghiệm th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zoomScale="70" zoomScaleNormal="70" workbookViewId="0">
      <pane ySplit="1" topLeftCell="A2" activePane="bottomLeft" state="frozen"/>
      <selection pane="bottomLeft" activeCell="F7" sqref="F7"/>
    </sheetView>
  </sheetViews>
  <sheetFormatPr defaultColWidth="12.640625" defaultRowHeight="14.15"/>
  <cols>
    <col min="1" max="1" width="7" customWidth="1"/>
    <col min="2" max="2" width="15.42578125" bestFit="1" customWidth="1"/>
    <col min="3" max="3" width="17" bestFit="1" customWidth="1"/>
    <col min="4" max="4" width="25.85546875" customWidth="1"/>
    <col min="5" max="5" width="18.7109375" customWidth="1"/>
    <col min="6" max="6" width="12.7109375" customWidth="1"/>
    <col min="7" max="7" width="14.85546875" customWidth="1"/>
    <col min="8" max="8" width="14.28515625" customWidth="1"/>
    <col min="9" max="9" width="24.640625" customWidth="1"/>
    <col min="10" max="10" width="22.5703125" customWidth="1"/>
    <col min="11" max="11" width="23.85546875" customWidth="1"/>
    <col min="12" max="12" width="18.7109375" customWidth="1"/>
    <col min="13" max="13" width="16.0703125" customWidth="1"/>
    <col min="14" max="14" width="12.0703125" bestFit="1" customWidth="1"/>
    <col min="15" max="15" width="29.140625" style="15" customWidth="1"/>
    <col min="16" max="16" width="24.0703125" bestFit="1" customWidth="1"/>
    <col min="17" max="17" width="13.5" bestFit="1" customWidth="1"/>
    <col min="18" max="18" width="18.5" customWidth="1"/>
    <col min="19" max="26" width="8.640625" customWidth="1"/>
  </cols>
  <sheetData>
    <row r="1" spans="1:19" ht="28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4"/>
    </row>
    <row r="2" spans="1:19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5"/>
      <c r="O2" s="6"/>
      <c r="P2" s="2"/>
      <c r="Q2" s="2"/>
      <c r="R2" s="2"/>
      <c r="S2" s="14"/>
    </row>
    <row r="3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6"/>
      <c r="P3" s="2"/>
      <c r="Q3" s="2"/>
      <c r="R3" s="2"/>
      <c r="S3" s="14"/>
    </row>
    <row r="4" spans="1:19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6"/>
      <c r="P4" s="2"/>
      <c r="Q4" s="2"/>
      <c r="R4" s="2"/>
      <c r="S4" s="14"/>
    </row>
    <row r="5" spans="1:19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  <c r="O5" s="6"/>
      <c r="P5" s="2"/>
      <c r="Q5" s="2"/>
      <c r="R5" s="2"/>
      <c r="S5" s="14"/>
    </row>
    <row r="6" spans="1:1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6"/>
      <c r="P6" s="2"/>
      <c r="Q6" s="2"/>
      <c r="R6" s="2"/>
      <c r="S6" s="14"/>
    </row>
    <row r="7" spans="1:19" ht="174" customHeight="1">
      <c r="A7" s="5">
        <v>6</v>
      </c>
      <c r="B7" s="6" t="s">
        <v>24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18</v>
      </c>
      <c r="H7" s="6" t="s">
        <v>19</v>
      </c>
      <c r="I7" s="6" t="s">
        <v>25</v>
      </c>
      <c r="J7" s="6" t="s">
        <v>30</v>
      </c>
      <c r="K7" s="6" t="s">
        <v>31</v>
      </c>
      <c r="L7" s="6" t="s">
        <v>32</v>
      </c>
      <c r="M7" s="6" t="s">
        <v>33</v>
      </c>
      <c r="N7" s="5">
        <v>3</v>
      </c>
      <c r="O7" s="6" t="s">
        <v>20</v>
      </c>
      <c r="P7" s="6" t="s">
        <v>21</v>
      </c>
      <c r="Q7" s="6" t="s">
        <v>22</v>
      </c>
      <c r="R7" s="6" t="s">
        <v>23</v>
      </c>
      <c r="S7" s="14"/>
    </row>
    <row r="8" spans="1:19">
      <c r="O8" s="6"/>
      <c r="P8" s="2"/>
      <c r="Q8" s="2"/>
      <c r="R8" s="2"/>
      <c r="S8" s="14"/>
    </row>
    <row r="9" spans="1:19">
      <c r="O9" s="6"/>
      <c r="P9" s="2"/>
      <c r="Q9" s="2"/>
      <c r="R9" s="2"/>
      <c r="S9" s="14"/>
    </row>
    <row r="10" spans="1:19">
      <c r="O10" s="6"/>
      <c r="P10" s="2"/>
      <c r="Q10" s="2"/>
      <c r="R10" s="2"/>
      <c r="S10" s="14"/>
    </row>
    <row r="11" spans="1:19">
      <c r="O11" s="6"/>
      <c r="P11" s="2"/>
      <c r="Q11" s="2"/>
      <c r="R11" s="2"/>
      <c r="S11" s="14"/>
    </row>
    <row r="12" spans="1:19">
      <c r="O12" s="6"/>
      <c r="P12" s="2"/>
      <c r="Q12" s="2"/>
      <c r="R12" s="2"/>
      <c r="S12" s="14"/>
    </row>
    <row r="13" spans="1:19">
      <c r="O13" s="6"/>
      <c r="P13" s="2"/>
      <c r="Q13" s="2"/>
      <c r="R13" s="2"/>
      <c r="S13" s="14"/>
    </row>
    <row r="14" spans="1:19">
      <c r="O14" s="6"/>
      <c r="P14" s="2"/>
      <c r="Q14" s="2"/>
      <c r="R14" s="2"/>
      <c r="S14" s="14"/>
    </row>
    <row r="15" spans="1:19">
      <c r="O15" s="6"/>
      <c r="P15" s="2"/>
      <c r="Q15" s="2"/>
      <c r="R15" s="2"/>
      <c r="S15" s="14"/>
    </row>
    <row r="16" spans="1:19">
      <c r="O16" s="6"/>
      <c r="P16" s="2"/>
      <c r="Q16" s="2"/>
      <c r="R16" s="2"/>
      <c r="S16" s="14"/>
    </row>
    <row r="17" spans="15:18">
      <c r="O17" s="6"/>
      <c r="P17" s="2"/>
      <c r="Q17" s="2"/>
      <c r="R17" s="2"/>
    </row>
    <row r="18" spans="15:18">
      <c r="O18" s="6"/>
      <c r="P18" s="2"/>
      <c r="Q18" s="2"/>
      <c r="R18" s="2"/>
    </row>
    <row r="19" spans="15:18">
      <c r="O19" s="6"/>
      <c r="P19" s="2"/>
      <c r="Q19" s="2"/>
      <c r="R19" s="2"/>
    </row>
    <row r="20" spans="15:18">
      <c r="O20" s="6"/>
      <c r="P20" s="2"/>
      <c r="Q20" s="2"/>
      <c r="R20" s="2"/>
    </row>
    <row r="21" spans="15:18">
      <c r="O21" s="6"/>
      <c r="P21" s="2"/>
      <c r="Q21" s="2"/>
      <c r="R21" s="2"/>
    </row>
    <row r="22" spans="15:18">
      <c r="O22" s="6"/>
      <c r="P22" s="2"/>
      <c r="Q22" s="2"/>
      <c r="R22" s="2"/>
    </row>
    <row r="23" spans="15:18">
      <c r="O23" s="6"/>
      <c r="P23" s="2"/>
      <c r="Q23" s="2"/>
      <c r="R23" s="2"/>
    </row>
    <row r="24" spans="15:18">
      <c r="O24" s="6"/>
      <c r="P24" s="2"/>
      <c r="Q24" s="2"/>
      <c r="R24" s="2"/>
    </row>
    <row r="25" spans="15:18">
      <c r="O25" s="6"/>
      <c r="P25" s="2"/>
      <c r="Q25" s="2"/>
      <c r="R25" s="2"/>
    </row>
    <row r="26" spans="15:18">
      <c r="O26" s="6"/>
      <c r="P26" s="2"/>
      <c r="Q26" s="2"/>
      <c r="R26" s="2"/>
    </row>
    <row r="27" spans="15:18">
      <c r="O27" s="6"/>
      <c r="P27" s="2"/>
      <c r="Q27" s="2"/>
      <c r="R27" s="2"/>
    </row>
    <row r="28" spans="15:18">
      <c r="O28" s="6"/>
      <c r="P28" s="2"/>
      <c r="Q28" s="2"/>
      <c r="R28" s="2"/>
    </row>
    <row r="29" spans="15:18">
      <c r="O29" s="6"/>
      <c r="P29" s="2"/>
      <c r="Q29" s="2"/>
      <c r="R29" s="2"/>
    </row>
    <row r="30" spans="15:18">
      <c r="O30" s="6"/>
      <c r="P30" s="2"/>
      <c r="Q30" s="2"/>
      <c r="R30" s="2"/>
    </row>
    <row r="31" spans="15:18">
      <c r="O31" s="6"/>
      <c r="P31" s="2"/>
      <c r="Q31" s="2"/>
      <c r="R31" s="2"/>
    </row>
    <row r="32" spans="15:18">
      <c r="O32" s="6"/>
      <c r="P32" s="2"/>
      <c r="Q32" s="2"/>
      <c r="R32" s="2"/>
    </row>
    <row r="33" spans="15:18">
      <c r="O33" s="6"/>
      <c r="P33" s="2"/>
      <c r="Q33" s="2"/>
      <c r="R33" s="2"/>
    </row>
    <row r="34" spans="15:18">
      <c r="O34" s="6"/>
      <c r="P34" s="2"/>
      <c r="Q34" s="2"/>
      <c r="R34" s="2"/>
    </row>
    <row r="35" spans="15:18">
      <c r="O35" s="6"/>
      <c r="P35" s="2"/>
      <c r="Q35" s="2"/>
      <c r="R35" s="2"/>
    </row>
    <row r="36" spans="15:18">
      <c r="O36" s="6"/>
      <c r="P36" s="2"/>
      <c r="Q36" s="2"/>
      <c r="R36" s="2"/>
    </row>
    <row r="37" spans="15:18">
      <c r="O37" s="6"/>
      <c r="P37" s="2"/>
      <c r="Q37" s="2"/>
      <c r="R37" s="2"/>
    </row>
    <row r="38" spans="15:18">
      <c r="O38" s="6"/>
      <c r="P38" s="2"/>
      <c r="Q38" s="2"/>
      <c r="R38" s="2"/>
    </row>
    <row r="39" spans="15:18">
      <c r="O39" s="6"/>
      <c r="P39" s="2"/>
      <c r="Q39" s="2"/>
      <c r="R39" s="2"/>
    </row>
    <row r="40" spans="15:18">
      <c r="O40" s="6"/>
      <c r="P40" s="2"/>
      <c r="Q40" s="2"/>
      <c r="R40" s="2"/>
    </row>
    <row r="41" spans="15:18">
      <c r="O41" s="6"/>
      <c r="P41" s="2"/>
      <c r="Q41" s="2"/>
      <c r="R41" s="2"/>
    </row>
    <row r="42" spans="15:18">
      <c r="O42" s="6"/>
      <c r="P42" s="2"/>
      <c r="Q42" s="2"/>
      <c r="R42" s="2"/>
    </row>
    <row r="43" spans="15:18">
      <c r="O43" s="6"/>
      <c r="P43" s="2"/>
      <c r="Q43" s="2"/>
      <c r="R43" s="2"/>
    </row>
    <row r="44" spans="15:18">
      <c r="O44" s="6"/>
      <c r="P44" s="2"/>
      <c r="Q44" s="2"/>
      <c r="R44" s="2"/>
    </row>
    <row r="45" spans="15:18">
      <c r="O45" s="6"/>
      <c r="P45" s="2"/>
      <c r="Q45" s="2"/>
      <c r="R45" s="2"/>
    </row>
    <row r="46" spans="15:18">
      <c r="O46" s="6"/>
      <c r="P46" s="2"/>
      <c r="Q46" s="2"/>
      <c r="R46" s="2"/>
    </row>
    <row r="47" spans="15:18">
      <c r="O47" s="6"/>
      <c r="P47" s="2"/>
      <c r="Q47" s="2"/>
      <c r="R47" s="2"/>
    </row>
    <row r="48" spans="15:18">
      <c r="O48" s="6"/>
      <c r="P48" s="2"/>
      <c r="Q48" s="2"/>
      <c r="R48" s="2"/>
    </row>
    <row r="49" spans="15:18">
      <c r="O49" s="6"/>
      <c r="P49" s="2"/>
      <c r="Q49" s="2"/>
      <c r="R49" s="2"/>
    </row>
    <row r="50" spans="15:18">
      <c r="O50" s="6"/>
      <c r="P50" s="2"/>
      <c r="Q50" s="2"/>
      <c r="R50" s="2"/>
    </row>
    <row r="51" spans="15:18">
      <c r="O51" s="6"/>
      <c r="P51" s="2"/>
      <c r="Q51" s="2"/>
      <c r="R51" s="2"/>
    </row>
    <row r="52" spans="15:18">
      <c r="O52" s="6"/>
      <c r="P52" s="2"/>
      <c r="Q52" s="2"/>
      <c r="R52" s="2"/>
    </row>
    <row r="53" spans="15:18">
      <c r="O53" s="6"/>
      <c r="P53" s="2"/>
      <c r="Q53" s="2"/>
      <c r="R53" s="2"/>
    </row>
    <row r="54" spans="15:18">
      <c r="O54" s="6"/>
      <c r="P54" s="2"/>
      <c r="Q54" s="2"/>
      <c r="R54" s="2"/>
    </row>
    <row r="55" spans="15:18">
      <c r="O55" s="6"/>
      <c r="P55" s="2"/>
      <c r="Q55" s="2"/>
      <c r="R55" s="2"/>
    </row>
    <row r="56" spans="15:18">
      <c r="O56" s="6"/>
      <c r="P56" s="2"/>
      <c r="Q56" s="2"/>
      <c r="R56" s="2"/>
    </row>
    <row r="57" spans="15:18">
      <c r="O57" s="6"/>
      <c r="P57" s="2"/>
      <c r="Q57" s="2"/>
      <c r="R57" s="2"/>
    </row>
    <row r="58" spans="15:18">
      <c r="O58" s="6"/>
      <c r="P58" s="2"/>
      <c r="Q58" s="2"/>
      <c r="R58" s="2"/>
    </row>
    <row r="59" spans="15:18">
      <c r="O59" s="6"/>
      <c r="P59" s="2"/>
      <c r="Q59" s="2"/>
      <c r="R59" s="2"/>
    </row>
    <row r="60" spans="15:18">
      <c r="P60" s="14"/>
      <c r="Q60" s="14"/>
      <c r="R60" s="14"/>
    </row>
  </sheetData>
  <conditionalFormatting sqref="N2:N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sqref="A1:C1"/>
    </sheetView>
  </sheetViews>
  <sheetFormatPr defaultColWidth="12.640625" defaultRowHeight="15" customHeight="1"/>
  <cols>
    <col min="1" max="1" width="25" customWidth="1"/>
    <col min="2" max="2" width="62" customWidth="1"/>
    <col min="3" max="3" width="48" customWidth="1"/>
    <col min="4" max="26" width="8.640625" customWidth="1"/>
  </cols>
  <sheetData>
    <row r="1" spans="1:3" ht="30" customHeight="1">
      <c r="A1" s="16" t="s">
        <v>34</v>
      </c>
      <c r="B1" s="17"/>
      <c r="C1" s="17"/>
    </row>
    <row r="2" spans="1:3" ht="14.15">
      <c r="A2" s="8" t="s">
        <v>35</v>
      </c>
      <c r="B2" s="8" t="s">
        <v>36</v>
      </c>
      <c r="C2" s="8" t="s">
        <v>37</v>
      </c>
    </row>
    <row r="3" spans="1:3" ht="56.6">
      <c r="A3" s="6" t="s">
        <v>38</v>
      </c>
      <c r="B3" s="6" t="s">
        <v>39</v>
      </c>
      <c r="C3" s="6" t="s">
        <v>40</v>
      </c>
    </row>
    <row r="4" spans="1:3" ht="56.6">
      <c r="A4" s="6" t="s">
        <v>41</v>
      </c>
      <c r="B4" s="6" t="s">
        <v>42</v>
      </c>
      <c r="C4" s="6" t="s">
        <v>43</v>
      </c>
    </row>
    <row r="5" spans="1:3" ht="42.45">
      <c r="A5" s="6" t="s">
        <v>44</v>
      </c>
      <c r="B5" s="6" t="s">
        <v>45</v>
      </c>
      <c r="C5" s="6" t="s">
        <v>46</v>
      </c>
    </row>
    <row r="6" spans="1:3" ht="56.6">
      <c r="A6" s="6" t="s">
        <v>47</v>
      </c>
      <c r="B6" s="6" t="s">
        <v>48</v>
      </c>
      <c r="C6" s="6" t="s">
        <v>49</v>
      </c>
    </row>
    <row r="7" spans="1:3" ht="28.3">
      <c r="A7" s="6" t="s">
        <v>50</v>
      </c>
      <c r="B7" s="6" t="s">
        <v>51</v>
      </c>
      <c r="C7" s="6" t="s">
        <v>52</v>
      </c>
    </row>
    <row r="8" spans="1:3" ht="56.6">
      <c r="A8" s="6" t="s">
        <v>53</v>
      </c>
      <c r="B8" s="6" t="s">
        <v>54</v>
      </c>
      <c r="C8" s="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sqref="A1:D1"/>
    </sheetView>
  </sheetViews>
  <sheetFormatPr defaultColWidth="12.640625" defaultRowHeight="15" customHeight="1"/>
  <cols>
    <col min="1" max="1" width="30" customWidth="1"/>
    <col min="2" max="2" width="14" customWidth="1"/>
    <col min="3" max="3" width="65" customWidth="1"/>
    <col min="4" max="4" width="50" customWidth="1"/>
    <col min="5" max="26" width="8.640625" customWidth="1"/>
  </cols>
  <sheetData>
    <row r="1" spans="1:4" ht="15.45">
      <c r="A1" s="18" t="s">
        <v>56</v>
      </c>
      <c r="B1" s="17"/>
      <c r="C1" s="17"/>
      <c r="D1" s="17"/>
    </row>
    <row r="2" spans="1:4" ht="14.15">
      <c r="A2" s="1" t="s">
        <v>57</v>
      </c>
      <c r="B2" s="1" t="s">
        <v>58</v>
      </c>
      <c r="C2" s="1" t="s">
        <v>59</v>
      </c>
      <c r="D2" s="1" t="s">
        <v>60</v>
      </c>
    </row>
    <row r="3" spans="1:4" ht="42.45">
      <c r="A3" s="2" t="s">
        <v>61</v>
      </c>
      <c r="B3" s="2">
        <v>20</v>
      </c>
      <c r="C3" s="2" t="s">
        <v>62</v>
      </c>
      <c r="D3" s="2" t="s">
        <v>63</v>
      </c>
    </row>
    <row r="4" spans="1:4" ht="28.3">
      <c r="A4" s="2" t="s">
        <v>64</v>
      </c>
      <c r="B4" s="2">
        <v>25</v>
      </c>
      <c r="C4" s="2" t="s">
        <v>65</v>
      </c>
      <c r="D4" s="2" t="s">
        <v>66</v>
      </c>
    </row>
    <row r="5" spans="1:4" ht="14.15">
      <c r="A5" s="2" t="s">
        <v>67</v>
      </c>
      <c r="B5" s="2">
        <v>20</v>
      </c>
      <c r="C5" s="2" t="s">
        <v>68</v>
      </c>
      <c r="D5" s="2" t="s">
        <v>69</v>
      </c>
    </row>
    <row r="6" spans="1:4" ht="42.45">
      <c r="A6" s="2" t="s">
        <v>70</v>
      </c>
      <c r="B6" s="2">
        <v>15</v>
      </c>
      <c r="C6" s="2" t="s">
        <v>71</v>
      </c>
      <c r="D6" s="2" t="s">
        <v>72</v>
      </c>
    </row>
    <row r="7" spans="1:4" ht="14.15">
      <c r="A7" s="2" t="s">
        <v>73</v>
      </c>
      <c r="B7" s="2">
        <v>10</v>
      </c>
      <c r="C7" s="2" t="s">
        <v>74</v>
      </c>
      <c r="D7" s="2" t="s">
        <v>75</v>
      </c>
    </row>
    <row r="8" spans="1:4" ht="14.15">
      <c r="A8" s="2" t="s">
        <v>76</v>
      </c>
      <c r="B8" s="2">
        <v>10</v>
      </c>
      <c r="C8" s="2" t="s">
        <v>77</v>
      </c>
      <c r="D8" s="2" t="s">
        <v>78</v>
      </c>
    </row>
    <row r="9" spans="1:4" ht="14.15">
      <c r="A9" s="2" t="s">
        <v>79</v>
      </c>
      <c r="B9" s="2">
        <v>100</v>
      </c>
      <c r="C9" s="2"/>
      <c r="D9" s="2"/>
    </row>
    <row r="10" spans="1:4" ht="14.15">
      <c r="A10" s="19" t="s">
        <v>80</v>
      </c>
      <c r="B10" s="17"/>
      <c r="C10" s="17"/>
      <c r="D10" s="17"/>
    </row>
    <row r="11" spans="1:4" ht="28.3">
      <c r="A11" s="2" t="s">
        <v>81</v>
      </c>
      <c r="B11" s="2">
        <v>5</v>
      </c>
      <c r="C11" s="2" t="s">
        <v>82</v>
      </c>
      <c r="D11" s="2" t="s">
        <v>83</v>
      </c>
    </row>
    <row r="12" spans="1:4" ht="28.3">
      <c r="A12" s="2" t="s">
        <v>84</v>
      </c>
      <c r="B12" s="2">
        <v>105</v>
      </c>
      <c r="C12" s="2" t="s">
        <v>85</v>
      </c>
      <c r="D12" s="2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0:D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15" sqref="C15"/>
    </sheetView>
  </sheetViews>
  <sheetFormatPr defaultColWidth="12.640625" defaultRowHeight="15" customHeight="1"/>
  <cols>
    <col min="1" max="1" width="8" customWidth="1"/>
    <col min="2" max="2" width="32" customWidth="1"/>
    <col min="3" max="3" width="80" customWidth="1"/>
    <col min="4" max="26" width="8.640625" customWidth="1"/>
  </cols>
  <sheetData>
    <row r="1" spans="1:3" ht="14.15">
      <c r="A1" s="1" t="s">
        <v>0</v>
      </c>
      <c r="B1" s="1" t="s">
        <v>87</v>
      </c>
      <c r="C1" s="1" t="s">
        <v>88</v>
      </c>
    </row>
    <row r="2" spans="1:3" ht="14.15">
      <c r="A2" s="2">
        <v>1</v>
      </c>
      <c r="B2" s="2" t="s">
        <v>89</v>
      </c>
      <c r="C2" s="2" t="s">
        <v>90</v>
      </c>
    </row>
    <row r="3" spans="1:3" ht="14.15">
      <c r="A3" s="2">
        <v>2</v>
      </c>
      <c r="B3" s="2" t="s">
        <v>91</v>
      </c>
      <c r="C3" s="2" t="s">
        <v>92</v>
      </c>
    </row>
    <row r="4" spans="1:3" ht="28.3">
      <c r="A4" s="2">
        <v>3</v>
      </c>
      <c r="B4" s="2" t="s">
        <v>93</v>
      </c>
      <c r="C4" s="2" t="s">
        <v>94</v>
      </c>
    </row>
    <row r="5" spans="1:3" ht="14.15">
      <c r="A5" s="2">
        <v>4</v>
      </c>
      <c r="B5" s="2" t="s">
        <v>95</v>
      </c>
      <c r="C5" s="2" t="s">
        <v>96</v>
      </c>
    </row>
    <row r="6" spans="1:3" ht="14.15">
      <c r="A6" s="2">
        <v>5</v>
      </c>
      <c r="B6" s="2" t="s">
        <v>97</v>
      </c>
      <c r="C6" s="2" t="s">
        <v>98</v>
      </c>
    </row>
    <row r="7" spans="1:3" ht="42.45">
      <c r="A7" s="2">
        <v>6</v>
      </c>
      <c r="B7" s="2" t="s">
        <v>99</v>
      </c>
      <c r="C7" s="2" t="s">
        <v>100</v>
      </c>
    </row>
    <row r="8" spans="1:3" ht="28.3">
      <c r="A8" s="2">
        <v>7</v>
      </c>
      <c r="B8" s="2" t="s">
        <v>101</v>
      </c>
      <c r="C8" s="2" t="s">
        <v>102</v>
      </c>
    </row>
    <row r="9" spans="1:3" ht="14.15">
      <c r="A9" s="2">
        <v>8</v>
      </c>
      <c r="B9" s="2" t="s">
        <v>103</v>
      </c>
      <c r="C9" s="2" t="s">
        <v>104</v>
      </c>
    </row>
    <row r="10" spans="1:3" ht="14.15">
      <c r="A10" s="2">
        <v>9</v>
      </c>
      <c r="B10" s="2" t="s">
        <v>105</v>
      </c>
      <c r="C10" s="2" t="s">
        <v>106</v>
      </c>
    </row>
    <row r="11" spans="1:3" ht="14.15">
      <c r="A11" s="2">
        <v>10</v>
      </c>
      <c r="B11" s="2" t="s">
        <v>107</v>
      </c>
      <c r="C11" s="2" t="s">
        <v>108</v>
      </c>
    </row>
    <row r="12" spans="1:3" ht="28.3">
      <c r="A12" s="2">
        <v>11</v>
      </c>
      <c r="B12" s="2" t="s">
        <v>109</v>
      </c>
      <c r="C12" s="2" t="s">
        <v>110</v>
      </c>
    </row>
    <row r="13" spans="1:3" ht="14.15">
      <c r="A13" s="2">
        <v>12</v>
      </c>
      <c r="B13" s="2" t="s">
        <v>111</v>
      </c>
      <c r="C13" s="2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pane ySplit="1" topLeftCell="A2" activePane="bottomLeft" state="frozen"/>
      <selection pane="bottomLeft" activeCell="C14" sqref="C14"/>
    </sheetView>
  </sheetViews>
  <sheetFormatPr defaultColWidth="12.640625" defaultRowHeight="15" customHeight="1"/>
  <cols>
    <col min="1" max="1" width="12" customWidth="1"/>
    <col min="2" max="3" width="20" customWidth="1"/>
    <col min="4" max="4" width="20" style="10" customWidth="1"/>
    <col min="5" max="5" width="12" customWidth="1"/>
    <col min="6" max="6" width="29" customWidth="1"/>
    <col min="7" max="7" width="27.85546875" customWidth="1"/>
    <col min="8" max="8" width="16" customWidth="1"/>
    <col min="9" max="10" width="14" customWidth="1"/>
    <col min="11" max="11" width="16" customWidth="1"/>
    <col min="12" max="12" width="20" customWidth="1"/>
    <col min="13" max="13" width="12" customWidth="1"/>
    <col min="14" max="14" width="14" customWidth="1"/>
    <col min="15" max="15" width="13" customWidth="1"/>
    <col min="16" max="16" width="12" customWidth="1"/>
    <col min="17" max="17" width="30" customWidth="1"/>
    <col min="18" max="27" width="14" customWidth="1"/>
  </cols>
  <sheetData>
    <row r="1" spans="1:27" ht="28.3">
      <c r="A1" s="8" t="s">
        <v>113</v>
      </c>
      <c r="B1" s="8" t="s">
        <v>114</v>
      </c>
      <c r="C1" s="8" t="s">
        <v>115</v>
      </c>
      <c r="D1" s="8" t="s">
        <v>116</v>
      </c>
      <c r="E1" s="8" t="s">
        <v>117</v>
      </c>
      <c r="F1" s="8" t="s">
        <v>2</v>
      </c>
      <c r="G1" s="8" t="s">
        <v>118</v>
      </c>
      <c r="H1" s="8" t="s">
        <v>119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8" t="s">
        <v>127</v>
      </c>
      <c r="Q1" s="8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</row>
    <row r="2" spans="1:27" ht="14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 t="str">
        <f t="shared" ref="O2:O31" si="0">IF(COUNTA(I2:N2)=0,"",SUM(I2:N2))</f>
        <v/>
      </c>
      <c r="P2" s="6" t="str">
        <f t="shared" ref="P2:P31" si="1">IF(O2="","",IF(O2&gt;=50,"Đạt","Chưa đạt"))</f>
        <v/>
      </c>
      <c r="Q2" s="6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15">
      <c r="A3" s="6"/>
      <c r="B3" s="6"/>
      <c r="C3" s="6"/>
      <c r="D3" s="6"/>
      <c r="E3" s="6"/>
      <c r="F3" s="13"/>
      <c r="G3" s="6"/>
      <c r="H3" s="6"/>
      <c r="I3" s="6"/>
      <c r="J3" s="6"/>
      <c r="K3" s="6"/>
      <c r="L3" s="6"/>
      <c r="M3" s="6"/>
      <c r="N3" s="6"/>
      <c r="O3" s="6" t="str">
        <f t="shared" si="0"/>
        <v/>
      </c>
      <c r="P3" s="6" t="str">
        <f t="shared" si="1"/>
        <v/>
      </c>
      <c r="Q3" s="6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15">
      <c r="A4" s="6"/>
      <c r="B4" s="6"/>
      <c r="C4" s="6"/>
      <c r="D4" s="6"/>
      <c r="E4" s="6"/>
      <c r="F4" s="13"/>
      <c r="G4" s="6"/>
      <c r="H4" s="6"/>
      <c r="I4" s="6"/>
      <c r="J4" s="6"/>
      <c r="K4" s="6"/>
      <c r="L4" s="6"/>
      <c r="M4" s="6"/>
      <c r="N4" s="6"/>
      <c r="O4" s="6" t="str">
        <f t="shared" si="0"/>
        <v/>
      </c>
      <c r="P4" s="6" t="str">
        <f t="shared" si="1"/>
        <v/>
      </c>
      <c r="Q4" s="6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 t="str">
        <f t="shared" si="0"/>
        <v/>
      </c>
      <c r="P5" s="6" t="str">
        <f t="shared" si="1"/>
        <v/>
      </c>
      <c r="Q5" s="6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15">
      <c r="A6" s="6"/>
      <c r="B6" s="6"/>
      <c r="C6" s="6"/>
      <c r="D6" s="6"/>
      <c r="E6" s="6"/>
      <c r="F6" s="13"/>
      <c r="G6" s="6"/>
      <c r="H6" s="6"/>
      <c r="I6" s="6"/>
      <c r="J6" s="6"/>
      <c r="K6" s="6"/>
      <c r="L6" s="6"/>
      <c r="M6" s="6"/>
      <c r="N6" s="6"/>
      <c r="O6" s="6" t="str">
        <f t="shared" si="0"/>
        <v/>
      </c>
      <c r="P6" s="6" t="str">
        <f t="shared" si="1"/>
        <v/>
      </c>
      <c r="Q6" s="6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15">
      <c r="A7" s="6"/>
      <c r="B7" s="6"/>
      <c r="C7" s="6"/>
      <c r="D7" s="6"/>
      <c r="E7" s="6"/>
      <c r="F7" s="13"/>
      <c r="G7" s="6"/>
      <c r="H7" s="6"/>
      <c r="I7" s="6"/>
      <c r="J7" s="6"/>
      <c r="K7" s="6"/>
      <c r="L7" s="6"/>
      <c r="M7" s="6"/>
      <c r="N7" s="6"/>
      <c r="O7" s="6" t="str">
        <f t="shared" si="0"/>
        <v/>
      </c>
      <c r="P7" s="6" t="str">
        <f t="shared" si="1"/>
        <v/>
      </c>
      <c r="Q7" s="6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15">
      <c r="A8" s="6"/>
      <c r="B8" s="6"/>
      <c r="C8" s="6"/>
      <c r="D8" s="6"/>
      <c r="E8" s="6"/>
      <c r="F8" s="13"/>
      <c r="G8" s="6"/>
      <c r="H8" s="6"/>
      <c r="I8" s="6"/>
      <c r="J8" s="6"/>
      <c r="K8" s="6"/>
      <c r="L8" s="6"/>
      <c r="M8" s="6"/>
      <c r="N8" s="6"/>
      <c r="O8" s="6" t="str">
        <f t="shared" si="0"/>
        <v/>
      </c>
      <c r="P8" s="6" t="str">
        <f t="shared" si="1"/>
        <v/>
      </c>
      <c r="Q8" s="6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15">
      <c r="A9" s="6"/>
      <c r="B9" s="6"/>
      <c r="C9" s="6"/>
      <c r="D9" s="6"/>
      <c r="E9" s="6"/>
      <c r="F9" s="13"/>
      <c r="G9" s="6"/>
      <c r="H9" s="6"/>
      <c r="I9" s="6"/>
      <c r="J9" s="6"/>
      <c r="K9" s="6"/>
      <c r="L9" s="6"/>
      <c r="M9" s="6"/>
      <c r="N9" s="6"/>
      <c r="O9" s="6" t="str">
        <f t="shared" si="0"/>
        <v/>
      </c>
      <c r="P9" s="6" t="str">
        <f t="shared" si="1"/>
        <v/>
      </c>
      <c r="Q9" s="6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15">
      <c r="A10" s="6"/>
      <c r="B10" s="11"/>
      <c r="C10" s="11"/>
      <c r="D10" s="6"/>
      <c r="E10" s="6"/>
      <c r="F10" s="13"/>
      <c r="G10" s="6"/>
      <c r="H10" s="6"/>
      <c r="I10" s="6"/>
      <c r="J10" s="6"/>
      <c r="K10" s="6"/>
      <c r="L10" s="6"/>
      <c r="M10" s="6"/>
      <c r="N10" s="6"/>
      <c r="O10" s="6" t="str">
        <f t="shared" si="0"/>
        <v/>
      </c>
      <c r="P10" s="6" t="str">
        <f t="shared" si="1"/>
        <v/>
      </c>
      <c r="Q10" s="6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8.3">
      <c r="A11" s="6" t="s">
        <v>139</v>
      </c>
      <c r="B11" s="6" t="s">
        <v>140</v>
      </c>
      <c r="C11" s="6" t="s">
        <v>141</v>
      </c>
      <c r="D11" s="6" t="s">
        <v>142</v>
      </c>
      <c r="E11" s="6">
        <v>6</v>
      </c>
      <c r="F11" s="13" t="str">
        <f>IFERROR(VLOOKUP(E11,'Danh sách 58 đề tài'!$A$2:$C$60,3,FALSE),"")</f>
        <v>Cảnh báo rò rỉ Gas &amp; chất lượng không khí</v>
      </c>
      <c r="G11" s="6"/>
      <c r="H11" s="6"/>
      <c r="I11" s="6"/>
      <c r="J11" s="6"/>
      <c r="K11" s="6"/>
      <c r="L11" s="6"/>
      <c r="M11" s="6"/>
      <c r="N11" s="6"/>
      <c r="O11" s="6" t="str">
        <f t="shared" si="0"/>
        <v/>
      </c>
      <c r="P11" s="6" t="str">
        <f t="shared" si="1"/>
        <v/>
      </c>
      <c r="Q11" s="6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15">
      <c r="A12" s="6"/>
      <c r="B12" s="6"/>
      <c r="C12" s="6"/>
      <c r="D12" s="6"/>
      <c r="E12" s="6"/>
      <c r="F12" s="13"/>
      <c r="G12" s="6"/>
      <c r="H12" s="6"/>
      <c r="I12" s="6"/>
      <c r="J12" s="6"/>
      <c r="K12" s="6"/>
      <c r="L12" s="6"/>
      <c r="M12" s="6"/>
      <c r="N12" s="6"/>
      <c r="O12" s="6" t="str">
        <f t="shared" si="0"/>
        <v/>
      </c>
      <c r="P12" s="6" t="str">
        <f t="shared" si="1"/>
        <v/>
      </c>
      <c r="Q12" s="6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15">
      <c r="A13" s="6"/>
      <c r="B13" s="6"/>
      <c r="C13" s="6"/>
      <c r="D13" s="6"/>
      <c r="E13" s="6"/>
      <c r="F13" s="13"/>
      <c r="G13" s="6"/>
      <c r="H13" s="6"/>
      <c r="I13" s="6"/>
      <c r="J13" s="6"/>
      <c r="K13" s="6"/>
      <c r="L13" s="6"/>
      <c r="M13" s="6"/>
      <c r="N13" s="6"/>
      <c r="O13" s="6" t="str">
        <f t="shared" si="0"/>
        <v/>
      </c>
      <c r="P13" s="6" t="str">
        <f t="shared" si="1"/>
        <v/>
      </c>
      <c r="Q13" s="6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0.25" customHeight="1">
      <c r="A14" s="6"/>
      <c r="B14" s="6"/>
      <c r="C14" s="6"/>
      <c r="D14" s="6"/>
      <c r="E14" s="6"/>
      <c r="F14" s="13"/>
      <c r="G14" s="6"/>
      <c r="H14" s="6"/>
      <c r="I14" s="6"/>
      <c r="J14" s="6"/>
      <c r="K14" s="6"/>
      <c r="L14" s="6"/>
      <c r="M14" s="6"/>
      <c r="N14" s="6"/>
      <c r="O14" s="6" t="str">
        <f t="shared" si="0"/>
        <v/>
      </c>
      <c r="P14" s="6" t="str">
        <f t="shared" si="1"/>
        <v/>
      </c>
      <c r="Q14" s="6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15">
      <c r="A15" s="6"/>
      <c r="B15" s="6"/>
      <c r="C15" s="6"/>
      <c r="D15" s="6"/>
      <c r="E15" s="6"/>
      <c r="F15" s="13"/>
      <c r="G15" s="6"/>
      <c r="H15" s="6"/>
      <c r="I15" s="6"/>
      <c r="J15" s="6"/>
      <c r="K15" s="6"/>
      <c r="L15" s="6"/>
      <c r="M15" s="6"/>
      <c r="N15" s="6"/>
      <c r="O15" s="6" t="str">
        <f t="shared" si="0"/>
        <v/>
      </c>
      <c r="P15" s="6" t="str">
        <f t="shared" si="1"/>
        <v/>
      </c>
      <c r="Q15" s="6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15">
      <c r="A16" s="6"/>
      <c r="B16" s="6"/>
      <c r="C16" s="6"/>
      <c r="D16" s="6"/>
      <c r="E16" s="6"/>
      <c r="F16" s="13"/>
      <c r="G16" s="6"/>
      <c r="H16" s="6"/>
      <c r="I16" s="6"/>
      <c r="J16" s="6"/>
      <c r="K16" s="6"/>
      <c r="L16" s="6"/>
      <c r="M16" s="6"/>
      <c r="N16" s="6"/>
      <c r="O16" s="6" t="str">
        <f t="shared" si="0"/>
        <v/>
      </c>
      <c r="P16" s="6" t="str">
        <f t="shared" si="1"/>
        <v/>
      </c>
      <c r="Q16" s="6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15">
      <c r="A17" s="6"/>
      <c r="B17" s="6"/>
      <c r="C17" s="6"/>
      <c r="D17" s="6"/>
      <c r="E17" s="13"/>
      <c r="F17" s="12"/>
      <c r="G17" s="6"/>
      <c r="H17" s="6"/>
      <c r="I17" s="6"/>
      <c r="J17" s="6"/>
      <c r="K17" s="6"/>
      <c r="L17" s="6"/>
      <c r="M17" s="6"/>
      <c r="N17" s="6"/>
      <c r="O17" s="6" t="str">
        <f t="shared" si="0"/>
        <v/>
      </c>
      <c r="P17" s="6" t="str">
        <f t="shared" si="1"/>
        <v/>
      </c>
      <c r="Q17" s="6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15">
      <c r="A18" s="6"/>
      <c r="B18" s="6"/>
      <c r="C18" s="6"/>
      <c r="D18" s="6"/>
      <c r="E18" s="6"/>
      <c r="F18" s="13"/>
      <c r="G18" s="6"/>
      <c r="H18" s="6"/>
      <c r="I18" s="6"/>
      <c r="J18" s="6"/>
      <c r="K18" s="6"/>
      <c r="L18" s="6"/>
      <c r="M18" s="6"/>
      <c r="N18" s="6"/>
      <c r="O18" s="6" t="str">
        <f t="shared" si="0"/>
        <v/>
      </c>
      <c r="P18" s="6" t="str">
        <f t="shared" si="1"/>
        <v/>
      </c>
      <c r="Q18" s="6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15">
      <c r="A19" s="6"/>
      <c r="B19" s="6"/>
      <c r="C19" s="6"/>
      <c r="D19" s="6"/>
      <c r="E19" s="6"/>
      <c r="F19" s="13"/>
      <c r="G19" s="6"/>
      <c r="H19" s="6"/>
      <c r="I19" s="6"/>
      <c r="J19" s="6"/>
      <c r="K19" s="6"/>
      <c r="L19" s="6"/>
      <c r="M19" s="6"/>
      <c r="N19" s="6"/>
      <c r="O19" s="6" t="str">
        <f t="shared" si="0"/>
        <v/>
      </c>
      <c r="P19" s="6" t="str">
        <f t="shared" si="1"/>
        <v/>
      </c>
      <c r="Q19" s="6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15">
      <c r="A20" s="6"/>
      <c r="B20" s="6"/>
      <c r="C20" s="6"/>
      <c r="D20" s="6"/>
      <c r="E20" s="6"/>
      <c r="F20" s="13"/>
      <c r="G20" s="6"/>
      <c r="H20" s="6"/>
      <c r="I20" s="6"/>
      <c r="J20" s="6"/>
      <c r="K20" s="6"/>
      <c r="L20" s="6"/>
      <c r="M20" s="6"/>
      <c r="N20" s="6"/>
      <c r="O20" s="6" t="str">
        <f t="shared" si="0"/>
        <v/>
      </c>
      <c r="P20" s="6" t="str">
        <f t="shared" si="1"/>
        <v/>
      </c>
      <c r="Q20" s="6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>
      <c r="A21" s="6"/>
      <c r="B21" s="6"/>
      <c r="C21" s="6"/>
      <c r="D21" s="6"/>
      <c r="E21" s="6"/>
      <c r="F21" s="13"/>
      <c r="G21" s="6"/>
      <c r="H21" s="6"/>
      <c r="I21" s="6"/>
      <c r="J21" s="6"/>
      <c r="K21" s="6"/>
      <c r="L21" s="6"/>
      <c r="M21" s="6"/>
      <c r="N21" s="6"/>
      <c r="O21" s="6" t="str">
        <f t="shared" si="0"/>
        <v/>
      </c>
      <c r="P21" s="6" t="str">
        <f t="shared" si="1"/>
        <v/>
      </c>
      <c r="Q21" s="6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>
      <c r="A22" s="6"/>
      <c r="B22" s="6"/>
      <c r="C22" s="6"/>
      <c r="D22" s="6"/>
      <c r="E22" s="13"/>
      <c r="F22" s="13"/>
      <c r="G22" s="6"/>
      <c r="H22" s="6"/>
      <c r="I22" s="6"/>
      <c r="J22" s="6"/>
      <c r="K22" s="6"/>
      <c r="L22" s="6"/>
      <c r="M22" s="6"/>
      <c r="N22" s="6"/>
      <c r="O22" s="6" t="str">
        <f t="shared" si="0"/>
        <v/>
      </c>
      <c r="P22" s="6" t="str">
        <f t="shared" si="1"/>
        <v/>
      </c>
      <c r="Q22" s="6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>
      <c r="A23" s="6"/>
      <c r="B23" s="6"/>
      <c r="C23" s="6"/>
      <c r="D23" s="6"/>
      <c r="E23" s="13"/>
      <c r="F23" s="13"/>
      <c r="G23" s="6"/>
      <c r="H23" s="6"/>
      <c r="I23" s="6"/>
      <c r="J23" s="6"/>
      <c r="K23" s="6"/>
      <c r="L23" s="6"/>
      <c r="M23" s="6"/>
      <c r="N23" s="6"/>
      <c r="O23" s="6" t="str">
        <f t="shared" si="0"/>
        <v/>
      </c>
      <c r="P23" s="6" t="str">
        <f t="shared" si="1"/>
        <v/>
      </c>
      <c r="Q23" s="6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>
      <c r="A24" s="6"/>
      <c r="B24" s="6"/>
      <c r="C24" s="6"/>
      <c r="D24" s="6"/>
      <c r="E24" s="13"/>
      <c r="F24" s="13"/>
      <c r="G24" s="6"/>
      <c r="H24" s="6"/>
      <c r="I24" s="6"/>
      <c r="J24" s="6"/>
      <c r="K24" s="6"/>
      <c r="L24" s="6"/>
      <c r="M24" s="6"/>
      <c r="N24" s="6"/>
      <c r="O24" s="6" t="str">
        <f t="shared" si="0"/>
        <v/>
      </c>
      <c r="P24" s="6" t="str">
        <f t="shared" si="1"/>
        <v/>
      </c>
      <c r="Q24" s="6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>
      <c r="A25" s="6"/>
      <c r="B25" s="6"/>
      <c r="C25" s="6"/>
      <c r="D25" s="6"/>
      <c r="E25" s="13" t="str">
        <f>IFERROR(VLOOKUP(D25,'Danh sách 58 đề tài'!$A$2:$C$60,3,FALSE),"")</f>
        <v/>
      </c>
      <c r="F25" s="13" t="str">
        <f>IFERROR(VLOOKUP(E25,'Danh sách 58 đề tài'!$A$2:$C$60,3,FALSE),"")</f>
        <v/>
      </c>
      <c r="G25" s="6"/>
      <c r="H25" s="6"/>
      <c r="I25" s="6"/>
      <c r="J25" s="6"/>
      <c r="K25" s="6"/>
      <c r="L25" s="6"/>
      <c r="M25" s="6"/>
      <c r="N25" s="6"/>
      <c r="O25" s="6" t="str">
        <f t="shared" si="0"/>
        <v/>
      </c>
      <c r="P25" s="6" t="str">
        <f t="shared" si="1"/>
        <v/>
      </c>
      <c r="Q25" s="6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>
      <c r="A26" s="6"/>
      <c r="B26" s="6"/>
      <c r="C26" s="6"/>
      <c r="D26" s="6"/>
      <c r="E26" s="13" t="str">
        <f>IFERROR(VLOOKUP(D26,'Danh sách 58 đề tài'!$A$2:$C$60,3,FALSE),"")</f>
        <v/>
      </c>
      <c r="F26" s="13" t="str">
        <f>IFERROR(VLOOKUP(E26,'Danh sách 58 đề tài'!$A$2:$C$60,3,FALSE),"")</f>
        <v/>
      </c>
      <c r="G26" s="6"/>
      <c r="H26" s="6"/>
      <c r="I26" s="6"/>
      <c r="J26" s="6"/>
      <c r="K26" s="6"/>
      <c r="L26" s="6"/>
      <c r="M26" s="6"/>
      <c r="N26" s="6"/>
      <c r="O26" s="6" t="str">
        <f t="shared" si="0"/>
        <v/>
      </c>
      <c r="P26" s="6" t="str">
        <f t="shared" si="1"/>
        <v/>
      </c>
      <c r="Q26" s="6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>
      <c r="A27" s="6"/>
      <c r="B27" s="6"/>
      <c r="C27" s="6"/>
      <c r="D27" s="6"/>
      <c r="E27" s="13" t="str">
        <f>IFERROR(VLOOKUP(D27,'Danh sách 58 đề tài'!$A$2:$C$60,3,FALSE),"")</f>
        <v/>
      </c>
      <c r="F27" s="13" t="str">
        <f>IFERROR(VLOOKUP(E27,'Danh sách 58 đề tài'!$A$2:$C$60,3,FALSE),"")</f>
        <v/>
      </c>
      <c r="G27" s="6"/>
      <c r="H27" s="6"/>
      <c r="I27" s="6"/>
      <c r="J27" s="6"/>
      <c r="K27" s="6"/>
      <c r="L27" s="6"/>
      <c r="M27" s="6"/>
      <c r="N27" s="6"/>
      <c r="O27" s="6" t="str">
        <f t="shared" si="0"/>
        <v/>
      </c>
      <c r="P27" s="6" t="str">
        <f t="shared" si="1"/>
        <v/>
      </c>
      <c r="Q27" s="6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>
      <c r="A28" s="6"/>
      <c r="B28" s="6"/>
      <c r="C28" s="6"/>
      <c r="D28" s="6"/>
      <c r="E28" s="13" t="str">
        <f>IFERROR(VLOOKUP(D28,'Danh sách 58 đề tài'!$A$2:$C$60,3,FALSE),"")</f>
        <v/>
      </c>
      <c r="F28" s="13" t="str">
        <f>IFERROR(VLOOKUP(E28,'Danh sách 58 đề tài'!$A$2:$C$60,3,FALSE),"")</f>
        <v/>
      </c>
      <c r="G28" s="6"/>
      <c r="H28" s="6"/>
      <c r="I28" s="6"/>
      <c r="J28" s="6"/>
      <c r="K28" s="6"/>
      <c r="L28" s="6"/>
      <c r="M28" s="6"/>
      <c r="N28" s="6"/>
      <c r="O28" s="6" t="str">
        <f t="shared" si="0"/>
        <v/>
      </c>
      <c r="P28" s="6" t="str">
        <f t="shared" si="1"/>
        <v/>
      </c>
      <c r="Q28" s="6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>
      <c r="A29" s="6"/>
      <c r="B29" s="6"/>
      <c r="C29" s="6"/>
      <c r="D29" s="6"/>
      <c r="E29" s="13" t="str">
        <f>IFERROR(VLOOKUP(D29,'Danh sách 58 đề tài'!$A$2:$C$60,3,FALSE),"")</f>
        <v/>
      </c>
      <c r="F29" s="13" t="str">
        <f>IFERROR(VLOOKUP(E29,'Danh sách 58 đề tài'!$A$2:$C$60,3,FALSE),"")</f>
        <v/>
      </c>
      <c r="G29" s="6"/>
      <c r="H29" s="6"/>
      <c r="I29" s="6"/>
      <c r="J29" s="6"/>
      <c r="K29" s="6"/>
      <c r="L29" s="6"/>
      <c r="M29" s="6"/>
      <c r="N29" s="6"/>
      <c r="O29" s="6" t="str">
        <f t="shared" si="0"/>
        <v/>
      </c>
      <c r="P29" s="6" t="str">
        <f t="shared" si="1"/>
        <v/>
      </c>
      <c r="Q29" s="6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>
      <c r="A30" s="6"/>
      <c r="B30" s="6"/>
      <c r="C30" s="6"/>
      <c r="D30" s="6"/>
      <c r="E30" s="13" t="str">
        <f>IFERROR(VLOOKUP(D30,'Danh sách 58 đề tài'!$A$2:$C$60,3,FALSE),"")</f>
        <v/>
      </c>
      <c r="F30" s="13" t="str">
        <f>IFERROR(VLOOKUP(E30,'Danh sách 58 đề tài'!$A$2:$C$60,3,FALSE),"")</f>
        <v/>
      </c>
      <c r="G30" s="6"/>
      <c r="H30" s="6"/>
      <c r="I30" s="6"/>
      <c r="J30" s="6"/>
      <c r="K30" s="6"/>
      <c r="L30" s="6"/>
      <c r="M30" s="6"/>
      <c r="N30" s="6"/>
      <c r="O30" s="6" t="str">
        <f t="shared" si="0"/>
        <v/>
      </c>
      <c r="P30" s="6" t="str">
        <f t="shared" si="1"/>
        <v/>
      </c>
      <c r="Q30" s="6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>
      <c r="A31" s="6"/>
      <c r="B31" s="6"/>
      <c r="C31" s="6"/>
      <c r="D31" s="6"/>
      <c r="E31" s="13" t="str">
        <f>IFERROR(VLOOKUP(D31,'Danh sách 58 đề tài'!$A$2:$C$60,3,FALSE),"")</f>
        <v/>
      </c>
      <c r="F31" s="13" t="str">
        <f>IFERROR(VLOOKUP(E31,'Danh sách 58 đề tài'!$A$2:$C$60,3,FALSE),"")</f>
        <v/>
      </c>
      <c r="G31" s="6"/>
      <c r="H31" s="6"/>
      <c r="I31" s="6"/>
      <c r="J31" s="6"/>
      <c r="K31" s="6"/>
      <c r="L31" s="6"/>
      <c r="M31" s="6"/>
      <c r="N31" s="6"/>
      <c r="O31" s="6" t="str">
        <f t="shared" si="0"/>
        <v/>
      </c>
      <c r="P31" s="6" t="str">
        <f t="shared" si="1"/>
        <v/>
      </c>
      <c r="Q31" s="6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5:27" ht="15.75" customHeight="1"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5:27" ht="15.75" customHeight="1"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5:27" ht="15.75" customHeight="1"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5:27" ht="15.75" customHeight="1"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5:27" ht="15.75" customHeight="1"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5:27" ht="15.75" customHeight="1"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5:27" ht="15.75" customHeight="1"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5:27" ht="15.75" customHeight="1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5:27" ht="15.75" customHeight="1"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5:27" ht="15.75" customHeight="1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5:27" ht="15.75" customHeight="1"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5:27" ht="15.75" customHeight="1"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5:27" ht="15.75" customHeight="1"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5:27" ht="15.75" customHeight="1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5:27" ht="15.75" customHeight="1"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5:27" ht="15.75" customHeight="1"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5:27" ht="15.75" customHeight="1"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5:27" ht="15.75" customHeight="1"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5:27" ht="15.75" customHeight="1"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5:27" ht="15.75" customHeight="1"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5:27" ht="15.75" customHeight="1"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5:27" ht="15.75" customHeight="1"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5:27" ht="15.75" customHeight="1"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5:27" ht="15.75" customHeight="1"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5:27" ht="15.75" customHeight="1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5:27" ht="15.75" customHeight="1"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5:27" ht="15.75" customHeight="1"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5:27" ht="15.75" customHeight="1"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5:27" ht="15.75" customHeight="1"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5:27" ht="15.75" customHeight="1"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5:27" ht="15.75" customHeight="1"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5:27" ht="15.75" customHeight="1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5:27" ht="15.75" customHeight="1"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5:27" ht="15.75" customHeight="1"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5:27" ht="15.75" customHeight="1"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5:27" ht="15.75" customHeight="1"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5:27" ht="15.75" customHeight="1"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5:27" ht="15.75" customHeight="1"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5:27" ht="15.75" customHeight="1"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5:27" ht="15.75" customHeight="1"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5:27" ht="15.75" customHeight="1"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5:27" ht="15.75" customHeight="1"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5:27" ht="15.75" customHeight="1"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5:27" ht="15.75" customHeight="1"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5:27" ht="15.75" customHeight="1"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5:27" ht="15.75" customHeight="1"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5:27" ht="15.75" customHeight="1"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5:27" ht="15.75" customHeight="1"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5:27" ht="15.75" customHeight="1"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5:27" ht="15.75" customHeight="1"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5:27" ht="15.75" customHeight="1"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5:27" ht="15.75" customHeight="1"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5:27" ht="15.75" customHeight="1"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5:27" ht="15.75" customHeight="1"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5:27" ht="15.75" customHeight="1"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5:27" ht="15.75" customHeight="1"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5:27" ht="15.75" customHeight="1"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5:27" ht="15.75" customHeight="1"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5:27" ht="15.75" customHeight="1"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5:27" ht="15.75" customHeight="1"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5:27" ht="15.75" customHeight="1"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5:27" ht="15.75" customHeight="1"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5:27" ht="15.75" customHeight="1"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5:27" ht="15.75" customHeight="1"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5:27" ht="15.75" customHeight="1"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5:27" ht="15.75" customHeight="1"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5:27" ht="15.75" customHeight="1"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5:27" ht="15.75" customHeight="1"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5:27" ht="15.75" customHeight="1"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5:27" ht="15.75" customHeight="1"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5:27" ht="15.75" customHeight="1"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5:27" ht="15.75" customHeight="1"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5:27" ht="15.75" customHeight="1"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5:27" ht="15.75" customHeight="1"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5:27" ht="15.75" customHeight="1"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5:27" ht="15.75" customHeight="1"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5:27" ht="15.75" customHeight="1"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5:27" ht="15.75" customHeight="1"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5:27" ht="15.75" customHeight="1"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5:27" ht="15.75" customHeight="1"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5:27" ht="15.75" customHeight="1"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5:27" ht="15.75" customHeight="1"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5:27" ht="15.75" customHeight="1"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5:27" ht="15.75" customHeight="1"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5:27" ht="15.75" customHeight="1"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5:27" ht="15.75" customHeight="1"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5:27" ht="15.75" customHeight="1"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5:27" ht="15.75" customHeight="1"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5:27" ht="15.75" customHeight="1"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5:27" ht="15.75" customHeight="1"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5:27" ht="15.75" customHeight="1"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5:27" ht="15.75" customHeight="1"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5:27" ht="15.75" customHeight="1"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5:27" ht="15.75" customHeight="1"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5:27" ht="15.75" customHeight="1"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5:27" ht="15.75" customHeight="1"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5:27" ht="15.75" customHeight="1"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5:27" ht="15.75" customHeight="1"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5:27" ht="15.75" customHeight="1"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5:27" ht="15.75" customHeight="1"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5:27" ht="15.75" customHeight="1"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5:27" ht="15.75" customHeight="1"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5:27" ht="15.75" customHeight="1"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5:27" ht="15.75" customHeight="1"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5:27" ht="15.75" customHeight="1"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5:27" ht="15.75" customHeight="1"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5:27" ht="15.75" customHeight="1"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5:27" ht="15.75" customHeight="1"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5:27" ht="15.75" customHeight="1"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5:27" ht="15.75" customHeight="1"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5:27" ht="15.75" customHeight="1"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5:27" ht="15.75" customHeight="1"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5:27" ht="15.75" customHeight="1"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5:27" ht="15.75" customHeight="1"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5:27" ht="15.75" customHeight="1"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5:27" ht="15.75" customHeight="1"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5:27" ht="15.75" customHeight="1"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5:27" ht="15.75" customHeight="1"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5:27" ht="15.75" customHeight="1"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5:27" ht="15.75" customHeight="1"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5:27" ht="15.75" customHeight="1"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5:27" ht="15.75" customHeight="1"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5:27" ht="15.75" customHeight="1"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5:27" ht="15.75" customHeight="1"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5:27" ht="15.75" customHeight="1"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5:27" ht="15.75" customHeight="1"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5:27" ht="15.75" customHeight="1"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5:27" ht="15.75" customHeight="1"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5:27" ht="15.75" customHeight="1"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5:27" ht="15.75" customHeight="1"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5:27" ht="15.75" customHeight="1"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5:27" ht="15.75" customHeight="1"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5:27" ht="15.75" customHeight="1"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5:27" ht="15.75" customHeight="1"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5:27" ht="15.75" customHeight="1"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5:27" ht="15.75" customHeight="1"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5:27" ht="15.75" customHeight="1"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5:27" ht="15.75" customHeight="1"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5:27" ht="15.75" customHeight="1"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5:27" ht="15.75" customHeight="1"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5:27" ht="15.75" customHeight="1"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5:27" ht="15.75" customHeight="1"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5:27" ht="15.75" customHeight="1"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5:27" ht="15.75" customHeight="1"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5:27" ht="15.75" customHeight="1"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5:27" ht="15.75" customHeight="1"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5:27" ht="15.75" customHeight="1"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5:27" ht="15.75" customHeight="1"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5:27" ht="15.75" customHeight="1"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5:27" ht="15.75" customHeight="1"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5:27" ht="15.75" customHeight="1"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5:27" ht="15.75" customHeight="1"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5:27" ht="15.75" customHeight="1"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5:27" ht="15.75" customHeight="1"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5:27" ht="15.75" customHeight="1"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5:27" ht="15.75" customHeight="1"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5:27" ht="15.75" customHeight="1"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5:27" ht="15.75" customHeight="1"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5:27" ht="15.75" customHeight="1"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5:27" ht="15.75" customHeight="1"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5:27" ht="15.75" customHeight="1"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5:27" ht="15.75" customHeight="1"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5:27" ht="15.75" customHeight="1"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5:27" ht="15.75" customHeight="1"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5:27" ht="15.75" customHeight="1"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5:27" ht="15.75" customHeight="1"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5:27" ht="15.75" customHeight="1"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5:27" ht="15.75" customHeight="1"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5:27" ht="15.75" customHeight="1"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5:27" ht="15.75" customHeight="1"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5:27" ht="15.75" customHeight="1"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5:27" ht="15.75" customHeight="1"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5:27" ht="15.75" customHeight="1"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5:27" ht="15.75" customHeight="1"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5:27" ht="15.75" customHeight="1"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5:27" ht="15.75" customHeight="1"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5:27" ht="15.75" customHeight="1"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5:27" ht="15.75" customHeight="1"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5:27" ht="15.75" customHeight="1"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5:27" ht="15.75" customHeight="1"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5:27" ht="15.75" customHeight="1"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5:27" ht="15.75" customHeight="1"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5:27" ht="15.75" customHeight="1"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5:27" ht="15.75" customHeight="1"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5:27" ht="15.75" customHeight="1"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5:27" ht="15.75" customHeight="1"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5:27" ht="15.75" customHeight="1"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5:27" ht="15.75" customHeight="1"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5:27" ht="15.75" customHeight="1"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5:27" ht="15.75" customHeight="1"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5:27" ht="15.75" customHeight="1"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5:27" ht="15.75" customHeight="1"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5:27" ht="15.75" customHeight="1"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5:27" ht="15.75" customHeight="1"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5:27" ht="15.75" customHeight="1"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5:27" ht="15.75" customHeight="1"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5:27" ht="15.75" customHeight="1"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5:27" ht="15.75" customHeight="1"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5:27" ht="15.75" customHeight="1"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5:27" ht="15.75" customHeight="1"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5:27" ht="15.75" customHeight="1"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5:27" ht="15.75" customHeight="1"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5:27" ht="15.75" customHeight="1"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5:27" ht="15.75" customHeight="1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5:27" ht="15.75" customHeight="1"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5:27" ht="15.75" customHeight="1"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5:27" ht="15.75" customHeight="1"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5:27" ht="15.75" customHeight="1"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5:27" ht="15.75" customHeight="1"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5:27" ht="15.75" customHeight="1"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5:27" ht="15.75" customHeight="1"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5:27" ht="15.75" customHeight="1"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5:27" ht="15.75" customHeight="1"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5:27" ht="15.75" customHeight="1"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5:27" ht="15.75" customHeight="1"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5:27" ht="15.75" customHeight="1"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5:27" ht="15.75" customHeight="1"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5:27" ht="15.75" customHeight="1"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5:27" ht="15.75" customHeight="1"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5:27" ht="15.75" customHeight="1"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5:27" ht="15.75" customHeight="1"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5:27" ht="15.75" customHeight="1"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5:27" ht="15.75" customHeight="1"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5:27" ht="15.75" customHeight="1"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5:27" ht="15.75" customHeight="1"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5:27" ht="15.75" customHeight="1"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5:27" ht="15.75" customHeight="1"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5:27" ht="15.75" customHeight="1"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5:27" ht="15.75" customHeight="1"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5:27" ht="15.75" customHeight="1"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5:27" ht="15.75" customHeight="1"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5:27" ht="15.75" customHeight="1"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5:27" ht="15.75" customHeight="1"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5:27" ht="15.75" customHeight="1"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5:27" ht="15.75" customHeight="1"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5:27" ht="15.75" customHeight="1"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5:27" ht="15.75" customHeight="1"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5:27" ht="15.75" customHeight="1"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5:27" ht="15.75" customHeight="1"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5:27" ht="15.75" customHeight="1"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5:27" ht="15.75" customHeight="1"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5:27" ht="15.75" customHeight="1"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5:27" ht="15.75" customHeight="1"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5:27" ht="15.75" customHeight="1"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5:27" ht="15.75" customHeight="1"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5:27" ht="15.75" customHeight="1"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5:27" ht="15.75" customHeight="1"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5:27" ht="15.75" customHeight="1"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5:27" ht="15.75" customHeight="1"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5:27" ht="15.75" customHeight="1"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5:27" ht="15.75" customHeight="1"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5:27" ht="15.75" customHeight="1"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5:27" ht="15.75" customHeight="1"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5:27" ht="15.75" customHeight="1"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5:27" ht="15.75" customHeight="1"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5:27" ht="15.75" customHeight="1"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5:27" ht="15.75" customHeight="1"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5:27" ht="15.75" customHeight="1"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5:27" ht="15.75" customHeight="1"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5:27" ht="15.75" customHeight="1"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5:27" ht="15.75" customHeight="1"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5:27" ht="15.75" customHeight="1"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5:27" ht="15.75" customHeight="1"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5:27" ht="15.75" customHeight="1"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5:27" ht="15.75" customHeight="1"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5:27" ht="15.75" customHeight="1"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5:27" ht="15.75" customHeight="1"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5:27" ht="15.75" customHeight="1"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5:27" ht="15.75" customHeight="1"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5:27" ht="15.75" customHeight="1"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5:27" ht="15.75" customHeight="1"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5:27" ht="15.75" customHeight="1"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5:27" ht="15.75" customHeight="1"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5:27" ht="15.75" customHeight="1"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5:27" ht="15.75" customHeight="1"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5:27" ht="15.75" customHeight="1"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5:27" ht="15.75" customHeight="1"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5:27" ht="15.75" customHeight="1"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5:27" ht="15.75" customHeight="1"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5:27" ht="15.75" customHeight="1"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5:27" ht="15.75" customHeight="1"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5:27" ht="15.75" customHeight="1"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5:27" ht="15.75" customHeight="1"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5:27" ht="15.75" customHeight="1"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5:27" ht="15.75" customHeight="1"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5:27" ht="15.75" customHeight="1"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5:27" ht="15.75" customHeight="1"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5:27" ht="15.75" customHeight="1"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5:27" ht="15.75" customHeight="1"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5:27" ht="15.75" customHeight="1"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5:27" ht="15.75" customHeight="1"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5:27" ht="15.75" customHeight="1"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5:27" ht="15.75" customHeight="1"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5:27" ht="15.75" customHeight="1"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5:27" ht="15.75" customHeight="1"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5:27" ht="15.75" customHeight="1"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5:27" ht="15.75" customHeight="1"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5:27" ht="15.75" customHeight="1"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5:27" ht="15.75" customHeight="1"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5:27" ht="15.75" customHeight="1"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5:27" ht="15.75" customHeight="1"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5:27" ht="15.75" customHeight="1"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5:27" ht="15.75" customHeight="1"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5:27" ht="15.75" customHeight="1"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5:27" ht="15.75" customHeight="1"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5:27" ht="15.75" customHeight="1"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5:27" ht="15.75" customHeight="1"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5:27" ht="15.75" customHeight="1"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5:27" ht="15.75" customHeight="1"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5:27" ht="15.75" customHeight="1"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5:27" ht="15.75" customHeight="1"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5:27" ht="15.75" customHeight="1"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5:27" ht="15.75" customHeight="1"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5:27" ht="15.75" customHeight="1"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5:27" ht="15.75" customHeight="1"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5:27" ht="15.75" customHeight="1"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5:27" ht="15.75" customHeight="1"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5:27" ht="15.75" customHeight="1"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5:27" ht="15.75" customHeight="1"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5:27" ht="15.75" customHeight="1"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5:27" ht="15.75" customHeight="1"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5:27" ht="15.75" customHeight="1"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5:27" ht="15.75" customHeight="1"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5:27" ht="15.75" customHeight="1"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5:27" ht="15.75" customHeight="1"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5:27" ht="15.75" customHeight="1"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5:27" ht="15.75" customHeight="1"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5:27" ht="15.75" customHeight="1"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5:27" ht="15.75" customHeight="1"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5:27" ht="15.75" customHeight="1"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5:27" ht="15.75" customHeight="1"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5:27" ht="15.75" customHeight="1"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5:27" ht="15.75" customHeight="1"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5:27" ht="15.75" customHeight="1"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5:27" ht="15.75" customHeight="1"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5:27" ht="15.75" customHeight="1"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5:27" ht="15.75" customHeight="1"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5:27" ht="15.75" customHeight="1"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5:27" ht="15.75" customHeight="1"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5:27" ht="15.75" customHeight="1"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5:27" ht="15.75" customHeight="1"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5:27" ht="15.75" customHeight="1"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5:27" ht="15.75" customHeight="1"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5:27" ht="15.75" customHeight="1"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5:27" ht="15.75" customHeight="1"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5:27" ht="15.75" customHeight="1"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5:27" ht="15.75" customHeight="1"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5:27" ht="15.75" customHeight="1"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5:27" ht="15.75" customHeight="1"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5:27" ht="15.75" customHeight="1"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5:27" ht="15.75" customHeight="1"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5:27" ht="15.75" customHeight="1"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5:27" ht="15.75" customHeight="1"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5:27" ht="15.75" customHeight="1"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5:27" ht="15.75" customHeight="1"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5:27" ht="15.75" customHeight="1"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5:27" ht="15.75" customHeight="1"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5:27" ht="15.75" customHeight="1"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5:27" ht="15.75" customHeight="1"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5:27" ht="15.75" customHeight="1"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5:27" ht="15.75" customHeight="1"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5:27" ht="15.75" customHeight="1"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5:27" ht="15.75" customHeight="1"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5:27" ht="15.75" customHeight="1"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5:27" ht="15.75" customHeight="1"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5:27" ht="15.75" customHeight="1"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5:27" ht="15.75" customHeight="1"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5:27" ht="15.75" customHeight="1"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5:27" ht="15.75" customHeight="1"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5:27" ht="15.75" customHeight="1"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5:27" ht="15.75" customHeight="1"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5:27" ht="15.75" customHeight="1"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5:27" ht="15.75" customHeight="1"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5:27" ht="15.75" customHeight="1"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5:27" ht="15.75" customHeight="1"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5:27" ht="15.75" customHeight="1"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5:27" ht="15.75" customHeight="1"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5:27" ht="15.75" customHeight="1"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5:27" ht="15.75" customHeight="1"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5:27" ht="15.75" customHeight="1"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5:27" ht="15.75" customHeight="1"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5:27" ht="15.75" customHeight="1"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5:27" ht="15.75" customHeight="1"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5:27" ht="15.75" customHeight="1"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5:27" ht="15.75" customHeight="1"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5:27" ht="15.75" customHeight="1"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5:27" ht="15.75" customHeight="1"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5:27" ht="15.75" customHeight="1"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5:27" ht="15.75" customHeight="1"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5:27" ht="15.75" customHeight="1"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5:27" ht="15.75" customHeight="1"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5:27" ht="15.75" customHeight="1"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5:27" ht="15.75" customHeight="1"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5:27" ht="15.75" customHeight="1"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5:27" ht="15.75" customHeight="1"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5:27" ht="15.75" customHeight="1"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5:27" ht="15.75" customHeight="1"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5:27" ht="15.75" customHeight="1"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5:27" ht="15.75" customHeight="1"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5:27" ht="15.75" customHeight="1"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5:27" ht="15.75" customHeight="1"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5:27" ht="15.75" customHeight="1"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5:27" ht="15.75" customHeight="1"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5:27" ht="15.75" customHeight="1"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5:27" ht="15.75" customHeight="1"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5:27" ht="15.75" customHeight="1"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5:27" ht="15.75" customHeight="1"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5:27" ht="15.75" customHeight="1"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5:27" ht="15.75" customHeight="1"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5:27" ht="15.75" customHeight="1"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5:27" ht="15.75" customHeight="1"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5:27" ht="15.75" customHeight="1"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5:27" ht="15.75" customHeight="1"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5:27" ht="15.75" customHeight="1"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5:27" ht="15.75" customHeight="1"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5:27" ht="15.75" customHeight="1"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5:27" ht="15.75" customHeight="1"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5:27" ht="15.75" customHeight="1"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5:27" ht="15.75" customHeight="1"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5:27" ht="15.75" customHeight="1"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5:27" ht="15.75" customHeight="1"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5:27" ht="15.75" customHeight="1"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5:27" ht="15.75" customHeight="1"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5:27" ht="15.75" customHeight="1"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5:27" ht="15.75" customHeight="1"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5:27" ht="15.75" customHeight="1"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5:27" ht="15.75" customHeight="1"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5:27" ht="15.75" customHeight="1"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5:27" ht="15.75" customHeight="1"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5:27" ht="15.75" customHeight="1"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5:27" ht="15.75" customHeight="1"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5:27" ht="15.75" customHeight="1"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5:27" ht="15.75" customHeight="1"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5:27" ht="15.75" customHeight="1"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5:27" ht="15.75" customHeight="1"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5:27" ht="15.75" customHeight="1"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5:27" ht="15.75" customHeight="1"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5:27" ht="15.75" customHeight="1"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5:27" ht="15.75" customHeight="1"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5:27" ht="15.75" customHeight="1"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5:27" ht="15.75" customHeight="1"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5:27" ht="15.75" customHeight="1"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5:27" ht="15.75" customHeight="1"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5:27" ht="15.75" customHeight="1"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5:27" ht="15.75" customHeight="1"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5:27" ht="15.75" customHeight="1"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5:27" ht="15.75" customHeight="1"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5:27" ht="15.75" customHeight="1"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5:27" ht="15.75" customHeight="1"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5:27" ht="15.75" customHeight="1"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5:27" ht="15.75" customHeight="1"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5:27" ht="15.75" customHeight="1"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5:27" ht="15.75" customHeight="1"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5:27" ht="15.75" customHeight="1"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5:27" ht="15.75" customHeight="1"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5:27" ht="15.75" customHeight="1"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5:27" ht="15.75" customHeight="1"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5:27" ht="15.75" customHeight="1"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5:27" ht="15.75" customHeight="1"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5:27" ht="15.75" customHeight="1"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5:27" ht="15.75" customHeight="1"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5:27" ht="15.75" customHeight="1"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5:27" ht="15.75" customHeight="1"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5:27" ht="15.75" customHeight="1"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5:27" ht="15.75" customHeight="1"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5:27" ht="15.75" customHeight="1"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5:27" ht="15.75" customHeight="1"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5:27" ht="15.75" customHeight="1"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5:27" ht="15.75" customHeight="1"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5:27" ht="15.75" customHeight="1"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5:27" ht="15.75" customHeight="1"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5:27" ht="15.75" customHeight="1"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5:27" ht="15.75" customHeight="1"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5:27" ht="15.75" customHeight="1"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5:27" ht="15.75" customHeight="1"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5:27" ht="15.75" customHeight="1"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5:27" ht="15.75" customHeight="1"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5:27" ht="15.75" customHeight="1"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5:27" ht="15.75" customHeight="1"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5:27" ht="15.75" customHeight="1"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5:27" ht="15.75" customHeight="1"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5:27" ht="15.75" customHeight="1"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5:27" ht="15.75" customHeight="1"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5:27" ht="15.75" customHeight="1"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5:27" ht="15.75" customHeight="1"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5:27" ht="15.75" customHeight="1"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5:27" ht="15.75" customHeight="1"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5:27" ht="15.75" customHeight="1"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5:27" ht="15.75" customHeight="1"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5:27" ht="15.75" customHeight="1"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5:27" ht="15.75" customHeight="1"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5:27" ht="15.75" customHeight="1"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5:27" ht="15.75" customHeight="1"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5:27" ht="15.75" customHeight="1"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5:27" ht="15.75" customHeight="1"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5:27" ht="15.75" customHeight="1"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5:27" ht="15.75" customHeight="1"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5:27" ht="15.75" customHeight="1"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5:27" ht="15.75" customHeight="1"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5:27" ht="15.75" customHeight="1"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5:27" ht="15.75" customHeight="1"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5:27" ht="15.75" customHeight="1"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5:27" ht="15.75" customHeight="1"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5:27" ht="15.75" customHeight="1"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5:27" ht="15.75" customHeight="1"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5:27" ht="15.75" customHeight="1"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5:27" ht="15.75" customHeight="1"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5:27" ht="15.75" customHeight="1"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5:27" ht="15.75" customHeight="1"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5:27" ht="15.75" customHeight="1"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5:27" ht="15.75" customHeight="1"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5:27" ht="15.75" customHeight="1"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5:27" ht="15.75" customHeight="1"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5:27" ht="15.75" customHeight="1"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5:27" ht="15.75" customHeight="1"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5:27" ht="15.75" customHeight="1"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5:27" ht="15.75" customHeight="1"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5:27" ht="15.75" customHeight="1"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5:27" ht="15.75" customHeight="1"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5:27" ht="15.75" customHeight="1"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5:27" ht="15.75" customHeight="1"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5:27" ht="15.75" customHeight="1"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5:27" ht="15.75" customHeight="1"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5:27" ht="15.75" customHeight="1"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5:27" ht="15.75" customHeight="1"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5:27" ht="15.75" customHeight="1"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5:27" ht="15.75" customHeight="1"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5:27" ht="15.75" customHeight="1"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5:27" ht="15.75" customHeight="1"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5:27" ht="15.75" customHeight="1"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5:27" ht="15.75" customHeight="1"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5:27" ht="15.75" customHeight="1"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5:27" ht="15.75" customHeight="1"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5:27" ht="15.75" customHeight="1"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5:27" ht="15.75" customHeight="1"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5:27" ht="15.75" customHeight="1"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5:27" ht="15.75" customHeight="1"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5:27" ht="15.75" customHeight="1"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5:27" ht="15.75" customHeight="1"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5:27" ht="15.75" customHeight="1"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5:27" ht="15.75" customHeight="1"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5:27" ht="15.75" customHeight="1"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5:27" ht="15.75" customHeight="1"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5:27" ht="15.75" customHeight="1"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5:27" ht="15.75" customHeight="1"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5:27" ht="15.75" customHeight="1"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5:27" ht="15.75" customHeight="1"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5:27" ht="15.75" customHeight="1"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5:27" ht="15.75" customHeight="1"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5:27" ht="15.75" customHeight="1"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5:27" ht="15.75" customHeight="1"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5:27" ht="15.75" customHeight="1"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5:27" ht="15.75" customHeight="1"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5:27" ht="15.75" customHeight="1"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5:27" ht="15.75" customHeight="1"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5:27" ht="15.75" customHeight="1"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5:27" ht="15.75" customHeight="1"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5:27" ht="15.75" customHeight="1"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5:27" ht="15.75" customHeight="1"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5:27" ht="15.75" customHeight="1"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5:27" ht="15.75" customHeight="1"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5:27" ht="15.75" customHeight="1"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5:27" ht="15.75" customHeight="1"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5:27" ht="15.75" customHeight="1"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5:27" ht="15.75" customHeight="1"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5:27" ht="15.75" customHeight="1"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5:27" ht="15.75" customHeight="1"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5:27" ht="15.75" customHeight="1"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5:27" ht="15.75" customHeight="1"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5:27" ht="15.75" customHeight="1"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5:27" ht="15.75" customHeight="1"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5:27" ht="15.75" customHeight="1"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5:27" ht="15.75" customHeight="1"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5:27" ht="15.75" customHeight="1"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5:27" ht="15.75" customHeight="1"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5:27" ht="15.75" customHeight="1"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5:27" ht="15.75" customHeight="1"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5:27" ht="15.75" customHeight="1"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5:27" ht="15.75" customHeight="1"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5:27" ht="15.75" customHeight="1"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5:27" ht="15.75" customHeight="1"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5:27" ht="15.75" customHeight="1"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5:27" ht="15.75" customHeight="1"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5:27" ht="15.75" customHeight="1"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5:27" ht="15.75" customHeight="1"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5:27" ht="15.75" customHeight="1"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5:27" ht="15.75" customHeight="1"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5:27" ht="15.75" customHeight="1"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5:27" ht="15.75" customHeight="1"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5:27" ht="15.75" customHeight="1"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5:27" ht="15.75" customHeight="1"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5:27" ht="15.75" customHeight="1"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5:27" ht="15.75" customHeight="1"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5:27" ht="15.75" customHeight="1"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5:27" ht="15.75" customHeight="1"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5:27" ht="15.75" customHeight="1"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5:27" ht="15.75" customHeight="1"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5:27" ht="15.75" customHeight="1"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5:27" ht="15.75" customHeight="1"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5:27" ht="15.75" customHeight="1"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5:27" ht="15.75" customHeight="1"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5:27" ht="15.75" customHeight="1"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5:27" ht="15.75" customHeight="1"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5:27" ht="15.75" customHeight="1"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5:27" ht="15.75" customHeight="1"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5:27" ht="15.75" customHeight="1"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5:27" ht="15.75" customHeight="1"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5:27" ht="15.75" customHeight="1"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5:27" ht="15.75" customHeight="1"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5:27" ht="15.75" customHeight="1"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5:27" ht="15.75" customHeight="1"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5:27" ht="15.75" customHeight="1"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5:27" ht="15.75" customHeight="1"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5:27" ht="15.75" customHeight="1"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5:27" ht="15.75" customHeight="1"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5:27" ht="15.75" customHeight="1"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5:27" ht="15.75" customHeight="1"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5:27" ht="15.75" customHeight="1"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5:27" ht="15.75" customHeight="1"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5:27" ht="15.75" customHeight="1"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5:27" ht="15.75" customHeight="1"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5:27" ht="15.75" customHeight="1"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5:27" ht="15.75" customHeight="1"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5:27" ht="15.75" customHeight="1"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5:27" ht="15.75" customHeight="1"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5:27" ht="15.75" customHeight="1"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5:27" ht="15.75" customHeight="1"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5:27" ht="15.75" customHeight="1"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5:27" ht="15.75" customHeight="1"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5:27" ht="15.75" customHeight="1"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5:27" ht="15.75" customHeight="1"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5:27" ht="15.75" customHeight="1"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5:27" ht="15.75" customHeight="1"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5:27" ht="15.75" customHeight="1"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5:27" ht="15.75" customHeight="1"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5:27" ht="15.75" customHeight="1"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5:27" ht="15.75" customHeight="1"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5:27" ht="15.75" customHeight="1"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5:27" ht="15.75" customHeight="1"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5:27" ht="15.75" customHeight="1"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5:27" ht="15.75" customHeight="1"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5:27" ht="15.75" customHeight="1"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5:27" ht="15.75" customHeight="1"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5:27" ht="15.75" customHeight="1"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5:27" ht="15.75" customHeight="1"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5:27" ht="15.75" customHeight="1"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5:27" ht="15.75" customHeight="1"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5:27" ht="15.75" customHeight="1"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5:27" ht="15.75" customHeight="1"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5:27" ht="15.75" customHeight="1"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5:27" ht="15.75" customHeight="1"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5:27" ht="15.75" customHeight="1"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5:27" ht="15.75" customHeight="1"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5:27" ht="15.75" customHeight="1"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5:27" ht="15.75" customHeight="1"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5:27" ht="15.75" customHeight="1"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5:27" ht="15.75" customHeight="1"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5:27" ht="15.75" customHeight="1"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5:27" ht="15.75" customHeight="1"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5:27" ht="15.75" customHeight="1"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5:27" ht="15.75" customHeight="1"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5:27" ht="15.75" customHeight="1"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5:27" ht="15.75" customHeight="1"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5:27" ht="15.75" customHeight="1"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5:27" ht="15.75" customHeight="1"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5:27" ht="15.75" customHeight="1"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5:27" ht="15.75" customHeight="1"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5:27" ht="15.75" customHeight="1"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5:27" ht="15.75" customHeight="1"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5:27" ht="15.75" customHeight="1"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5:27" ht="15.75" customHeight="1"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5:27" ht="15.75" customHeight="1"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5:27" ht="15.75" customHeight="1"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5:27" ht="15.75" customHeight="1"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5:27" ht="15.75" customHeight="1"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5:27" ht="15.75" customHeight="1"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5:27" ht="15.75" customHeight="1"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5:27" ht="15.75" customHeight="1"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5:27" ht="15.75" customHeight="1"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5:27" ht="15.75" customHeight="1"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5:27" ht="15.75" customHeight="1"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5:27" ht="15.75" customHeight="1"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5:27" ht="15.75" customHeight="1"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5:27" ht="15.75" customHeight="1"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5:27" ht="15.75" customHeight="1"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5:27" ht="15.75" customHeight="1"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5:27" ht="15.75" customHeight="1"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5:27" ht="15.75" customHeight="1"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5:27" ht="15.75" customHeight="1"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5:27" ht="15.75" customHeight="1"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5:27" ht="15.75" customHeight="1"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5:27" ht="15.75" customHeight="1"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5:27" ht="15.75" customHeight="1"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5:27" ht="15.75" customHeight="1"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5:27" ht="15.75" customHeight="1"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5:27" ht="15.75" customHeight="1"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5:27" ht="15.75" customHeight="1"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5:27" ht="15.75" customHeight="1"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5:27" ht="15.75" customHeight="1"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5:27" ht="15.75" customHeight="1"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5:27" ht="15.75" customHeight="1"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5:27" ht="15.75" customHeight="1"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5:27" ht="15.75" customHeight="1"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5:27" ht="15.75" customHeight="1"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5:27" ht="15.75" customHeight="1"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5:27" ht="15.75" customHeight="1"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5:27" ht="15.75" customHeight="1"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5:27" ht="15.75" customHeight="1"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5:27" ht="15.75" customHeight="1"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5:27" ht="15.75" customHeight="1"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5:27" ht="15.75" customHeight="1"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5:27" ht="15.75" customHeight="1"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5:27" ht="15.75" customHeight="1"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5:27" ht="15.75" customHeight="1"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5:27" ht="15.75" customHeight="1"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5:27" ht="15.75" customHeight="1"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5:27" ht="15.75" customHeight="1"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5:27" ht="15.75" customHeight="1"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5:27" ht="15.75" customHeight="1"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5:27" ht="15.75" customHeight="1"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5:27" ht="15.75" customHeight="1"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5:27" ht="15.75" customHeight="1"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5:27" ht="15.75" customHeight="1"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5:27" ht="15.75" customHeight="1"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5:27" ht="15.75" customHeight="1"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5:27" ht="15.75" customHeight="1"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5:27" ht="15.75" customHeight="1"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5:27" ht="15.75" customHeight="1"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5:27" ht="15.75" customHeight="1"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5:27" ht="15.75" customHeight="1"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5:27" ht="15.75" customHeight="1"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5:27" ht="15.75" customHeight="1"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5:27" ht="15.75" customHeight="1"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5:27" ht="15.75" customHeight="1"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5:27" ht="15.75" customHeight="1"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5:27" ht="15.75" customHeight="1"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5:27" ht="15.75" customHeight="1"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5:27" ht="15.75" customHeight="1"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5:27" ht="15.75" customHeight="1"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5:27" ht="15.75" customHeight="1"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5:27" ht="15.75" customHeight="1"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5:27" ht="15.75" customHeight="1"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5:27" ht="15.75" customHeight="1"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5:27" ht="15.75" customHeight="1"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5:27" ht="15.75" customHeight="1"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5:27" ht="15.75" customHeight="1"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5:27" ht="15.75" customHeight="1"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5:27" ht="15.75" customHeight="1"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5:27" ht="15.75" customHeight="1"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5:27" ht="15.75" customHeight="1"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5:27" ht="15.75" customHeight="1"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5:27" ht="15.75" customHeight="1"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5:27" ht="15.75" customHeight="1"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5:27" ht="15.75" customHeight="1"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5:27" ht="15.75" customHeight="1"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5:27" ht="15.75" customHeight="1"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5:27" ht="15.75" customHeight="1"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5:27" ht="15.75" customHeight="1"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5:27" ht="15.75" customHeight="1"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5:27" ht="15.75" customHeight="1"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5:27" ht="15.75" customHeight="1"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5:27" ht="15.75" customHeight="1"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5:27" ht="15.75" customHeight="1"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5:27" ht="15.75" customHeight="1"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5:27" ht="15.75" customHeight="1"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5:27" ht="15.75" customHeight="1"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5:27" ht="15.75" customHeight="1"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5:27" ht="15.75" customHeight="1"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5:27" ht="15.75" customHeight="1"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5:27" ht="15.75" customHeight="1"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5:27" ht="15.75" customHeight="1"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5:27" ht="15.75" customHeight="1"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5:27" ht="15.75" customHeight="1"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5:27" ht="15.75" customHeight="1"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5:27" ht="15.75" customHeight="1"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5:27" ht="15.75" customHeight="1"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5:27" ht="15.75" customHeight="1"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5:27" ht="15.75" customHeight="1"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5:27" ht="15.75" customHeight="1"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5:27" ht="15.75" customHeight="1"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5:27" ht="15.75" customHeight="1"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5:27" ht="15.75" customHeight="1"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5:27" ht="15.75" customHeight="1"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5:27" ht="15.75" customHeight="1"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5:27" ht="15.75" customHeight="1"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5:27" ht="15.75" customHeight="1"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5:27" ht="15.75" customHeight="1"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5:27" ht="15.75" customHeight="1"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5:27" ht="15.75" customHeight="1"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5:27" ht="15.75" customHeight="1"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5:27" ht="15.75" customHeight="1"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5:27" ht="15.75" customHeight="1"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5:27" ht="15.75" customHeight="1"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5:27" ht="15.75" customHeight="1"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5:27" ht="15.75" customHeight="1"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5:27" ht="15.75" customHeight="1"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5:27" ht="15.75" customHeight="1"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5:27" ht="15.75" customHeight="1"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5:27" ht="15.75" customHeight="1"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5:27" ht="15.75" customHeight="1"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5:27" ht="15.75" customHeight="1"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5:27" ht="15.75" customHeight="1"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5:27" ht="15.75" customHeight="1"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5:27" ht="15.75" customHeight="1"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5:27" ht="15.75" customHeight="1"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5:27" ht="15.75" customHeight="1"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5:27" ht="15.75" customHeight="1"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5:27" ht="15.75" customHeight="1"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5:27" ht="15.75" customHeight="1"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5:27" ht="15.75" customHeight="1"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5:27" ht="15.75" customHeight="1"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5:27" ht="15.75" customHeight="1"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5:27" ht="15.75" customHeight="1"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5:27" ht="15.75" customHeight="1"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5:27" ht="15.75" customHeight="1"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5:27" ht="15.75" customHeight="1"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5:27" ht="15.75" customHeight="1"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5:27" ht="15.75" customHeight="1"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5:27" ht="15.75" customHeight="1"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5:27" ht="15.75" customHeight="1"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5:27" ht="15.75" customHeight="1"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5:27" ht="15.75" customHeight="1"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5:27" ht="15.75" customHeight="1"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5:27" ht="15.75" customHeight="1"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5:27" ht="15.75" customHeight="1"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5:27" ht="15.75" customHeight="1"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5:27" ht="15.75" customHeight="1"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5:27" ht="15.75" customHeight="1"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5:27" ht="15.75" customHeight="1"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5:27" ht="15.75" customHeight="1"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5:27" ht="15.75" customHeight="1"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5:27" ht="15.75" customHeight="1"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5:27" ht="15.75" customHeight="1"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5:27" ht="15.75" customHeight="1"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5:27" ht="15.75" customHeight="1"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5:27" ht="15.75" customHeight="1"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5:27" ht="15.75" customHeight="1"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5:27" ht="15.75" customHeight="1"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5:27" ht="15.75" customHeight="1"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5:27" ht="15.75" customHeight="1"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5:27" ht="15.75" customHeight="1"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5:27" ht="15.75" customHeight="1"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5:27" ht="15.75" customHeight="1"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5:27" ht="15.75" customHeight="1"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5:27" ht="15.75" customHeight="1"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5:27" ht="15.75" customHeight="1"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5:27" ht="15.75" customHeight="1"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5:27" ht="15.75" customHeight="1"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5:27" ht="15.75" customHeight="1"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5:27" ht="15.75" customHeight="1"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5:27" ht="15.75" customHeight="1"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5:27" ht="15.75" customHeight="1"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5:27" ht="15.75" customHeight="1"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5:27" ht="15.75" customHeight="1"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5:27" ht="15.75" customHeight="1"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5:27" ht="15.75" customHeight="1"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5:27" ht="15.75" customHeight="1"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5:27" ht="15.75" customHeight="1"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5:27" ht="15.75" customHeight="1"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5:27" ht="15.75" customHeight="1"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5:27" ht="15.75" customHeight="1"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5:27" ht="15.75" customHeight="1"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5:27" ht="15.75" customHeight="1"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5:27" ht="15.75" customHeight="1"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5:27" ht="15.75" customHeight="1"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5:27" ht="15.75" customHeight="1"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5:27" ht="15.75" customHeight="1"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5:27" ht="15.75" customHeight="1"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5:27" ht="15.75" customHeight="1"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5:27" ht="15.75" customHeight="1"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5:27" ht="15.75" customHeight="1"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5:27" ht="15.75" customHeight="1"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5:27" ht="15.75" customHeight="1"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5:27" ht="15.75" customHeight="1"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5:27" ht="15.75" customHeight="1"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5:27" ht="15.75" customHeight="1"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5:27" ht="15.75" customHeight="1"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5:27" ht="15.75" customHeight="1"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5:27" ht="15.75" customHeight="1"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5:27" ht="15.75" customHeight="1"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5:27" ht="15.75" customHeight="1"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5:27" ht="15.75" customHeight="1"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5:27" ht="15.75" customHeight="1"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5:27" ht="15.75" customHeight="1"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5:27" ht="15.75" customHeight="1"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5:27" ht="15.75" customHeight="1"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5:27" ht="15.75" customHeight="1"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5:27" ht="15.75" customHeight="1"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5:27" ht="15.75" customHeight="1"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5:27" ht="15.75" customHeight="1"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5:27" ht="15.75" customHeight="1"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5:27" ht="15.75" customHeight="1"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5:27" ht="15.75" customHeight="1"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5:27" ht="15.75" customHeight="1"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5:27" ht="15.75" customHeight="1"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5:27" ht="15.75" customHeight="1"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5:27" ht="15.75" customHeight="1"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5:27" ht="15.75" customHeight="1"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5:27" ht="15.75" customHeight="1"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5:27" ht="15.75" customHeight="1"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5:27" ht="15.75" customHeight="1"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5:27" ht="15.75" customHeight="1"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5:27" ht="15.75" customHeight="1"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5:27" ht="15.75" customHeight="1"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5:27" ht="15.75" customHeight="1"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5:27" ht="15.75" customHeight="1"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5:27" ht="15.75" customHeight="1"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5:27" ht="15.75" customHeight="1"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5:27" ht="15.75" customHeight="1"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5:27" ht="15.75" customHeight="1"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5:27" ht="15.75" customHeight="1"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5:27" ht="15.75" customHeight="1"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5:27" ht="15.75" customHeight="1"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5:27" ht="15.75" customHeight="1"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5:27" ht="15.75" customHeight="1"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5:27" ht="15.75" customHeight="1"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5:27" ht="15.75" customHeight="1"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5:27" ht="15.75" customHeight="1"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5:27" ht="15.75" customHeight="1"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5:27" ht="15.75" customHeight="1"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5:27" ht="15.75" customHeight="1"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5:27" ht="15.75" customHeight="1"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5:27" ht="15.75" customHeight="1"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5:27" ht="15.75" customHeight="1"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5:27" ht="15.75" customHeight="1"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5:27" ht="15.75" customHeight="1"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5:27" ht="15.75" customHeight="1"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5:27" ht="15.75" customHeight="1"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5:27" ht="15.75" customHeight="1"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5:27" ht="15.75" customHeight="1"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5:27" ht="15.75" customHeight="1"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5:27" ht="15.75" customHeight="1"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5:27" ht="15.75" customHeight="1"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5:27" ht="15.75" customHeight="1"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5:27" ht="15.75" customHeight="1"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5:27" ht="15.75" customHeight="1"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5:27" ht="15.75" customHeight="1"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5:27" ht="15.75" customHeight="1"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5:27" ht="15.75" customHeight="1"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5:27" ht="15.75" customHeight="1"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5:27" ht="15.75" customHeight="1"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5:27" ht="15.75" customHeight="1"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5:27" ht="15.75" customHeight="1"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5:27" ht="15.75" customHeight="1"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5:27" ht="15.75" customHeight="1"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5:27" ht="15.75" customHeight="1"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5:27" ht="15.75" customHeight="1"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5:27" ht="15.75" customHeight="1"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5:27" ht="15.75" customHeight="1"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5:27" ht="15.75" customHeight="1"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5:27" ht="15.75" customHeight="1"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5:27" ht="15.75" customHeight="1"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5:27" ht="15.75" customHeight="1"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5:27" ht="15.75" customHeight="1"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5:27" ht="15.75" customHeight="1"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5:27" ht="15.75" customHeight="1"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5:27" ht="15.75" customHeight="1"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5:27" ht="15.75" customHeight="1"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5:27" ht="15.75" customHeight="1"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5:27" ht="15.75" customHeight="1"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5:27" ht="15.75" customHeight="1"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5:27" ht="15.75" customHeight="1"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5:27" ht="15.75" customHeight="1"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5:27" ht="15.75" customHeight="1"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5:27" ht="15.75" customHeight="1"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5:27" ht="15.75" customHeight="1"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5:27" ht="15.75" customHeight="1"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5:27" ht="15.75" customHeight="1"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conditionalFormatting sqref="O2:O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6">
    <dataValidation type="decimal" allowBlank="1" sqref="I2:I31 K2:K31" xr:uid="{00000000-0002-0000-0300-000000000000}">
      <formula1>0</formula1>
      <formula2>20</formula2>
    </dataValidation>
    <dataValidation type="list" allowBlank="1" sqref="R2:AA31" xr:uid="{00000000-0002-0000-0300-000001000000}">
      <formula1>"Chưa làm,Đang làm,Đạt,Cần sửa"</formula1>
    </dataValidation>
    <dataValidation type="decimal" allowBlank="1" sqref="J2:J31" xr:uid="{00000000-0002-0000-0300-000002000000}">
      <formula1>0</formula1>
      <formula2>25</formula2>
    </dataValidation>
    <dataValidation type="list" allowBlank="1" sqref="H2:H31" xr:uid="{00000000-0002-0000-0300-000003000000}">
      <formula1>"Chưa bắt đầu,Đang thực hiện,Sẵn sàng demo,Đã nghiệm thu"</formula1>
    </dataValidation>
    <dataValidation type="decimal" allowBlank="1" sqref="L2:L31" xr:uid="{00000000-0002-0000-0300-000004000000}">
      <formula1>0</formula1>
      <formula2>15</formula2>
    </dataValidation>
    <dataValidation type="decimal" allowBlank="1" sqref="M2:N31" xr:uid="{00000000-0002-0000-0300-000005000000}">
      <formula1>0</formula1>
      <formula2>10</formula2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sqref="A1:C1"/>
    </sheetView>
  </sheetViews>
  <sheetFormatPr defaultColWidth="12.640625" defaultRowHeight="15" customHeight="1"/>
  <cols>
    <col min="1" max="1" width="24" customWidth="1"/>
    <col min="2" max="3" width="55" customWidth="1"/>
    <col min="4" max="26" width="8.640625" customWidth="1"/>
  </cols>
  <sheetData>
    <row r="1" spans="1:3" ht="14.15">
      <c r="A1" s="20" t="s">
        <v>143</v>
      </c>
      <c r="B1" s="17"/>
      <c r="C1" s="17"/>
    </row>
    <row r="2" spans="1:3" ht="14.15">
      <c r="A2" s="4" t="s">
        <v>144</v>
      </c>
      <c r="B2" s="4" t="s">
        <v>145</v>
      </c>
      <c r="C2" s="4" t="s">
        <v>146</v>
      </c>
    </row>
    <row r="3" spans="1:3" ht="28.3">
      <c r="A3" s="2" t="s">
        <v>147</v>
      </c>
      <c r="B3" s="2" t="s">
        <v>148</v>
      </c>
      <c r="C3" s="2" t="s">
        <v>149</v>
      </c>
    </row>
    <row r="4" spans="1:3" ht="28.3">
      <c r="A4" s="2" t="s">
        <v>150</v>
      </c>
      <c r="B4" s="2" t="s">
        <v>151</v>
      </c>
      <c r="C4" s="2" t="s">
        <v>152</v>
      </c>
    </row>
    <row r="5" spans="1:3" ht="28.3">
      <c r="A5" s="2" t="s">
        <v>153</v>
      </c>
      <c r="B5" s="2" t="s">
        <v>154</v>
      </c>
      <c r="C5" s="2" t="s">
        <v>154</v>
      </c>
    </row>
    <row r="6" spans="1:3" ht="28.3">
      <c r="A6" s="2" t="s">
        <v>155</v>
      </c>
      <c r="B6" s="2" t="s">
        <v>156</v>
      </c>
      <c r="C6" s="2" t="s">
        <v>157</v>
      </c>
    </row>
    <row r="7" spans="1:3" ht="28.3">
      <c r="A7" s="2" t="s">
        <v>158</v>
      </c>
      <c r="B7" s="2" t="s">
        <v>159</v>
      </c>
      <c r="C7" s="2" t="s">
        <v>160</v>
      </c>
    </row>
    <row r="8" spans="1:3" ht="28.3">
      <c r="A8" s="2" t="s">
        <v>161</v>
      </c>
      <c r="B8" s="2" t="s">
        <v>162</v>
      </c>
      <c r="C8" s="2" t="s">
        <v>162</v>
      </c>
    </row>
    <row r="9" spans="1:3" ht="28.3">
      <c r="A9" s="2" t="s">
        <v>163</v>
      </c>
      <c r="B9" s="2" t="s">
        <v>164</v>
      </c>
      <c r="C9" s="2" t="s">
        <v>165</v>
      </c>
    </row>
    <row r="10" spans="1:3" ht="14.15">
      <c r="A10" s="21" t="s">
        <v>166</v>
      </c>
      <c r="B10" s="17"/>
      <c r="C10" s="17"/>
    </row>
    <row r="11" spans="1:3" ht="28.3">
      <c r="A11" s="2" t="s">
        <v>167</v>
      </c>
      <c r="B11" s="2" t="s">
        <v>168</v>
      </c>
      <c r="C11" s="2" t="s">
        <v>169</v>
      </c>
    </row>
    <row r="12" spans="1:3" ht="28.3">
      <c r="A12" s="2" t="s">
        <v>170</v>
      </c>
      <c r="B12" s="2" t="s">
        <v>171</v>
      </c>
      <c r="C12" s="2" t="s">
        <v>172</v>
      </c>
    </row>
    <row r="13" spans="1:3" ht="28.3">
      <c r="A13" s="2" t="s">
        <v>173</v>
      </c>
      <c r="B13" s="2" t="s">
        <v>174</v>
      </c>
      <c r="C13" s="2" t="s">
        <v>175</v>
      </c>
    </row>
    <row r="15" spans="1:3" ht="14.15">
      <c r="A15" s="21" t="s">
        <v>176</v>
      </c>
      <c r="B15" s="17"/>
      <c r="C15" s="17"/>
    </row>
    <row r="16" spans="1:3" ht="42.45">
      <c r="A16" s="2" t="s">
        <v>177</v>
      </c>
      <c r="B16" s="2" t="s">
        <v>178</v>
      </c>
      <c r="C16" s="2" t="s">
        <v>179</v>
      </c>
    </row>
    <row r="17" spans="1:3" ht="28.3">
      <c r="A17" s="2" t="s">
        <v>180</v>
      </c>
      <c r="B17" s="2" t="s">
        <v>181</v>
      </c>
      <c r="C17" s="2" t="s">
        <v>182</v>
      </c>
    </row>
    <row r="19" spans="1:3" ht="14.15">
      <c r="A19" s="21" t="s">
        <v>183</v>
      </c>
      <c r="B19" s="17"/>
      <c r="C19" s="17"/>
    </row>
    <row r="20" spans="1:3" ht="28.3">
      <c r="A20" s="2" t="s">
        <v>184</v>
      </c>
      <c r="B20" s="2" t="s">
        <v>185</v>
      </c>
      <c r="C20" s="2" t="s">
        <v>186</v>
      </c>
    </row>
    <row r="21" spans="1:3" ht="15.75" customHeight="1">
      <c r="A21" s="2" t="s">
        <v>187</v>
      </c>
      <c r="B21" s="2" t="s">
        <v>188</v>
      </c>
      <c r="C21" s="2" t="s">
        <v>189</v>
      </c>
    </row>
    <row r="22" spans="1:3" ht="15.75" customHeight="1">
      <c r="A22" s="2" t="s">
        <v>190</v>
      </c>
      <c r="B22" s="2" t="s">
        <v>191</v>
      </c>
      <c r="C22" s="2" t="s">
        <v>192</v>
      </c>
    </row>
    <row r="23" spans="1:3" ht="15.75" customHeight="1">
      <c r="A23" s="14"/>
      <c r="B23" s="14"/>
      <c r="C23" s="14"/>
    </row>
    <row r="24" spans="1:3" ht="15.75" customHeight="1">
      <c r="A24" s="14"/>
      <c r="B24" s="14"/>
      <c r="C24" s="14"/>
    </row>
    <row r="25" spans="1:3" ht="15.75" customHeight="1">
      <c r="A25" s="14"/>
      <c r="B25" s="14"/>
      <c r="C25" s="14"/>
    </row>
    <row r="26" spans="1:3" ht="15.75" customHeight="1">
      <c r="A26" s="14"/>
      <c r="B26" s="14"/>
      <c r="C26" s="14"/>
    </row>
    <row r="27" spans="1:3" ht="15.75" customHeight="1">
      <c r="A27" s="14"/>
      <c r="B27" s="14"/>
      <c r="C27" s="14"/>
    </row>
    <row r="28" spans="1:3" ht="15.75" customHeight="1">
      <c r="A28" s="14"/>
      <c r="B28" s="14"/>
      <c r="C28" s="14"/>
    </row>
    <row r="29" spans="1:3" ht="15.75" customHeight="1">
      <c r="A29" s="14"/>
      <c r="B29" s="14"/>
      <c r="C29" s="14"/>
    </row>
    <row r="30" spans="1:3" ht="15.75" customHeight="1">
      <c r="A30" s="14"/>
      <c r="B30" s="14"/>
      <c r="C30" s="14"/>
    </row>
    <row r="31" spans="1:3" ht="15.75" customHeight="1">
      <c r="A31" s="14"/>
      <c r="B31" s="14"/>
      <c r="C31" s="14"/>
    </row>
    <row r="32" spans="1:3" ht="15.75" customHeight="1">
      <c r="A32" s="14"/>
      <c r="B32" s="14"/>
      <c r="C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0:C10"/>
    <mergeCell ref="A15:C15"/>
    <mergeCell ref="A19:C1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abSelected="1" zoomScale="85" zoomScaleNormal="85" workbookViewId="0">
      <selection sqref="A1:G1"/>
    </sheetView>
  </sheetViews>
  <sheetFormatPr defaultColWidth="12.640625" defaultRowHeight="15" customHeight="1"/>
  <cols>
    <col min="1" max="1" width="8" customWidth="1"/>
    <col min="2" max="2" width="15" customWidth="1"/>
    <col min="3" max="3" width="30" customWidth="1"/>
    <col min="4" max="4" width="60" customWidth="1"/>
    <col min="5" max="5" width="55" customWidth="1"/>
    <col min="6" max="6" width="58" customWidth="1"/>
    <col min="7" max="7" width="14" customWidth="1"/>
    <col min="8" max="26" width="8.640625" customWidth="1"/>
  </cols>
  <sheetData>
    <row r="1" spans="1:7" ht="14.15">
      <c r="A1" s="22" t="s">
        <v>193</v>
      </c>
      <c r="B1" s="17"/>
      <c r="C1" s="17"/>
      <c r="D1" s="17"/>
      <c r="E1" s="17"/>
      <c r="F1" s="17"/>
      <c r="G1" s="17"/>
    </row>
    <row r="2" spans="1:7" ht="28.3">
      <c r="A2" s="7" t="s">
        <v>194</v>
      </c>
      <c r="B2" s="7" t="s">
        <v>195</v>
      </c>
      <c r="C2" s="7" t="s">
        <v>196</v>
      </c>
      <c r="D2" s="7" t="s">
        <v>197</v>
      </c>
      <c r="E2" s="7" t="s">
        <v>87</v>
      </c>
      <c r="F2" s="7" t="s">
        <v>198</v>
      </c>
      <c r="G2" s="7" t="s">
        <v>199</v>
      </c>
    </row>
    <row r="3" spans="1:7" ht="42.45">
      <c r="A3" s="6">
        <v>1</v>
      </c>
      <c r="B3" s="6" t="s">
        <v>200</v>
      </c>
      <c r="C3" s="6" t="s">
        <v>201</v>
      </c>
      <c r="D3" s="6" t="s">
        <v>202</v>
      </c>
      <c r="E3" s="6" t="s">
        <v>203</v>
      </c>
      <c r="F3" s="6" t="s">
        <v>204</v>
      </c>
      <c r="G3" s="6" t="s">
        <v>205</v>
      </c>
    </row>
    <row r="4" spans="1:7" ht="28.3">
      <c r="A4" s="6">
        <v>2</v>
      </c>
      <c r="B4" s="6" t="s">
        <v>200</v>
      </c>
      <c r="C4" s="6" t="s">
        <v>206</v>
      </c>
      <c r="D4" s="6" t="s">
        <v>207</v>
      </c>
      <c r="E4" s="6" t="s">
        <v>208</v>
      </c>
      <c r="F4" s="6" t="s">
        <v>209</v>
      </c>
      <c r="G4" s="6" t="s">
        <v>210</v>
      </c>
    </row>
    <row r="5" spans="1:7" ht="28.3">
      <c r="A5" s="6">
        <v>3</v>
      </c>
      <c r="B5" s="6" t="s">
        <v>200</v>
      </c>
      <c r="C5" s="6" t="s">
        <v>211</v>
      </c>
      <c r="D5" s="6" t="s">
        <v>212</v>
      </c>
      <c r="E5" s="6" t="s">
        <v>213</v>
      </c>
      <c r="F5" s="6" t="s">
        <v>214</v>
      </c>
      <c r="G5" s="6" t="s">
        <v>210</v>
      </c>
    </row>
    <row r="6" spans="1:7" ht="28.3">
      <c r="A6" s="6">
        <v>4</v>
      </c>
      <c r="B6" s="6" t="s">
        <v>200</v>
      </c>
      <c r="C6" s="6" t="s">
        <v>215</v>
      </c>
      <c r="D6" s="6" t="s">
        <v>216</v>
      </c>
      <c r="E6" s="6" t="s">
        <v>217</v>
      </c>
      <c r="F6" s="6" t="s">
        <v>218</v>
      </c>
      <c r="G6" s="6" t="s">
        <v>210</v>
      </c>
    </row>
    <row r="7" spans="1:7" ht="28.3">
      <c r="A7" s="6">
        <v>5</v>
      </c>
      <c r="B7" s="6" t="s">
        <v>200</v>
      </c>
      <c r="C7" s="6" t="s">
        <v>219</v>
      </c>
      <c r="D7" s="6" t="s">
        <v>220</v>
      </c>
      <c r="E7" s="6" t="s">
        <v>221</v>
      </c>
      <c r="F7" s="6" t="s">
        <v>222</v>
      </c>
      <c r="G7" s="6" t="s">
        <v>210</v>
      </c>
    </row>
    <row r="8" spans="1:7" ht="28.3">
      <c r="A8" s="6">
        <v>6</v>
      </c>
      <c r="B8" s="6" t="s">
        <v>200</v>
      </c>
      <c r="C8" s="6" t="s">
        <v>8</v>
      </c>
      <c r="D8" s="6" t="s">
        <v>223</v>
      </c>
      <c r="E8" s="6" t="s">
        <v>224</v>
      </c>
      <c r="F8" s="6" t="s">
        <v>225</v>
      </c>
      <c r="G8" s="6" t="s">
        <v>210</v>
      </c>
    </row>
    <row r="9" spans="1:7" ht="28.3">
      <c r="A9" s="6">
        <v>7</v>
      </c>
      <c r="B9" s="6" t="s">
        <v>200</v>
      </c>
      <c r="C9" s="6" t="s">
        <v>226</v>
      </c>
      <c r="D9" s="6" t="s">
        <v>227</v>
      </c>
      <c r="E9" s="6" t="s">
        <v>228</v>
      </c>
      <c r="F9" s="6" t="s">
        <v>229</v>
      </c>
      <c r="G9" s="6" t="s">
        <v>210</v>
      </c>
    </row>
    <row r="10" spans="1:7" ht="28.3">
      <c r="A10" s="6">
        <v>8</v>
      </c>
      <c r="B10" s="6" t="s">
        <v>200</v>
      </c>
      <c r="C10" s="6" t="s">
        <v>230</v>
      </c>
      <c r="D10" s="6" t="s">
        <v>231</v>
      </c>
      <c r="E10" s="6" t="s">
        <v>232</v>
      </c>
      <c r="F10" s="6" t="s">
        <v>233</v>
      </c>
      <c r="G10" s="6" t="s">
        <v>234</v>
      </c>
    </row>
    <row r="11" spans="1:7" ht="28.3">
      <c r="A11" s="6">
        <v>9</v>
      </c>
      <c r="B11" s="6" t="s">
        <v>200</v>
      </c>
      <c r="C11" s="6" t="s">
        <v>235</v>
      </c>
      <c r="D11" s="6" t="s">
        <v>236</v>
      </c>
      <c r="E11" s="6" t="s">
        <v>237</v>
      </c>
      <c r="F11" s="6" t="s">
        <v>238</v>
      </c>
      <c r="G11" s="6" t="s">
        <v>210</v>
      </c>
    </row>
    <row r="12" spans="1:7" ht="28.3">
      <c r="A12" s="6">
        <v>10</v>
      </c>
      <c r="B12" s="6" t="s">
        <v>200</v>
      </c>
      <c r="C12" s="6" t="s">
        <v>239</v>
      </c>
      <c r="D12" s="6" t="s">
        <v>240</v>
      </c>
      <c r="E12" s="6" t="s">
        <v>241</v>
      </c>
      <c r="F12" s="6" t="s">
        <v>242</v>
      </c>
      <c r="G12" s="6" t="s">
        <v>210</v>
      </c>
    </row>
    <row r="13" spans="1:7" ht="14.15">
      <c r="A13" s="6" t="s">
        <v>243</v>
      </c>
      <c r="B13" s="6" t="s">
        <v>244</v>
      </c>
      <c r="C13" s="6"/>
      <c r="D13" s="6"/>
      <c r="E13" s="6"/>
      <c r="F13" s="6"/>
      <c r="G13" s="6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640625" defaultRowHeight="15" customHeight="1"/>
  <cols>
    <col min="1" max="1" width="16" customWidth="1"/>
    <col min="2" max="2" width="28" customWidth="1"/>
    <col min="3" max="3" width="55" customWidth="1"/>
    <col min="4" max="4" width="50" customWidth="1"/>
    <col min="5" max="5" width="45" customWidth="1"/>
    <col min="6" max="26" width="8.640625" customWidth="1"/>
  </cols>
  <sheetData>
    <row r="1" spans="1:5" ht="14.15">
      <c r="A1" s="22" t="s">
        <v>246</v>
      </c>
      <c r="B1" s="17"/>
      <c r="C1" s="17"/>
      <c r="D1" s="17"/>
      <c r="E1" s="17"/>
    </row>
    <row r="2" spans="1:5" ht="14.15">
      <c r="A2" s="7" t="s">
        <v>247</v>
      </c>
      <c r="B2" s="7" t="s">
        <v>248</v>
      </c>
      <c r="C2" s="7" t="s">
        <v>249</v>
      </c>
      <c r="D2" s="7" t="s">
        <v>250</v>
      </c>
      <c r="E2" s="7" t="s">
        <v>251</v>
      </c>
    </row>
    <row r="3" spans="1:5" ht="28.3">
      <c r="A3" s="6" t="s">
        <v>252</v>
      </c>
      <c r="B3" s="6" t="s">
        <v>253</v>
      </c>
      <c r="C3" s="6" t="s">
        <v>254</v>
      </c>
      <c r="D3" s="6" t="s">
        <v>255</v>
      </c>
      <c r="E3" s="6" t="s">
        <v>256</v>
      </c>
    </row>
    <row r="4" spans="1:5" ht="28.3">
      <c r="A4" s="6" t="s">
        <v>252</v>
      </c>
      <c r="B4" s="6" t="s">
        <v>257</v>
      </c>
      <c r="C4" s="6" t="s">
        <v>258</v>
      </c>
      <c r="D4" s="6" t="s">
        <v>259</v>
      </c>
      <c r="E4" s="6" t="s">
        <v>256</v>
      </c>
    </row>
    <row r="5" spans="1:5" ht="14.15">
      <c r="A5" s="6" t="s">
        <v>260</v>
      </c>
      <c r="B5" s="6" t="s">
        <v>261</v>
      </c>
      <c r="C5" s="6" t="s">
        <v>262</v>
      </c>
      <c r="D5" s="6" t="s">
        <v>263</v>
      </c>
      <c r="E5" s="6" t="s">
        <v>264</v>
      </c>
    </row>
    <row r="6" spans="1:5" ht="14.15">
      <c r="A6" s="6" t="s">
        <v>260</v>
      </c>
      <c r="B6" s="6" t="s">
        <v>265</v>
      </c>
      <c r="C6" s="6" t="s">
        <v>266</v>
      </c>
      <c r="D6" s="6" t="s">
        <v>263</v>
      </c>
      <c r="E6" s="6" t="s">
        <v>264</v>
      </c>
    </row>
    <row r="7" spans="1:5" ht="14.15">
      <c r="A7" s="6" t="s">
        <v>260</v>
      </c>
      <c r="B7" s="6" t="s">
        <v>267</v>
      </c>
      <c r="C7" s="6" t="s">
        <v>268</v>
      </c>
      <c r="D7" s="6" t="s">
        <v>263</v>
      </c>
      <c r="E7" s="6" t="s">
        <v>264</v>
      </c>
    </row>
    <row r="8" spans="1:5" ht="28.3">
      <c r="A8" s="6" t="s">
        <v>269</v>
      </c>
      <c r="B8" s="6" t="s">
        <v>244</v>
      </c>
      <c r="C8" s="6" t="s">
        <v>270</v>
      </c>
      <c r="D8" s="6" t="s">
        <v>271</v>
      </c>
      <c r="E8" s="6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Danh sách 58 đề tài</vt:lpstr>
      <vt:lpstr>Chuẩn kiến trúc 4 tầng</vt:lpstr>
      <vt:lpstr>Rubric 100 điểm</vt:lpstr>
      <vt:lpstr>Checklist Deliverables</vt:lpstr>
      <vt:lpstr>Phân nhóm &amp; nghiệm thu</vt:lpstr>
      <vt:lpstr>Hướng dẫn mô phỏng</vt:lpstr>
      <vt:lpstr>Kế hoạch 10 tuần - 60h</vt:lpstr>
      <vt:lpstr>Phân công nhóm 2-3 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 LONG</cp:lastModifiedBy>
  <cp:revision/>
  <dcterms:created xsi:type="dcterms:W3CDTF">2026-09-05T05:38:37Z</dcterms:created>
  <dcterms:modified xsi:type="dcterms:W3CDTF">2026-10-17T07:46:11Z</dcterms:modified>
  <cp:category/>
  <cp:contentStatus/>
</cp:coreProperties>
</file>